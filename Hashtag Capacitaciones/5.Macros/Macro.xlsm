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doh\Documents\YouTube\Excel\Hashtag Capacitaciones\5.Macros\"/>
    </mc:Choice>
  </mc:AlternateContent>
  <xr:revisionPtr revIDLastSave="0" documentId="8_{74084C7D-7657-445B-AFA8-8854747DC313}" xr6:coauthVersionLast="47" xr6:coauthVersionMax="47" xr10:uidLastSave="{00000000-0000-0000-0000-000000000000}"/>
  <bookViews>
    <workbookView xWindow="-110" yWindow="-110" windowWidth="21820" windowHeight="13900" firstSheet="9" activeTab="11" xr2:uid="{2F6D9F04-5541-48FF-AD61-213FA6174B63}"/>
  </bookViews>
  <sheets>
    <sheet name="Limpiar base" sheetId="2" r:id="rId1"/>
    <sheet name="Limpiar base backup" sheetId="6" r:id="rId2"/>
    <sheet name="Insertar-Eliminar filas" sheetId="3" r:id="rId3"/>
    <sheet name="Detalle1" sheetId="9" r:id="rId4"/>
    <sheet name="Hoja1" sheetId="10" r:id="rId5"/>
    <sheet name="Actualizar TD" sheetId="5" r:id="rId6"/>
    <sheet name="Duplicar ficha" sheetId="4" r:id="rId7"/>
    <sheet name="Ficha del cliente" sheetId="7" r:id="rId8"/>
    <sheet name="Ficha del cliente (4)" sheetId="13" r:id="rId9"/>
    <sheet name="Ficha del cliente (3)" sheetId="12" r:id="rId10"/>
    <sheet name="Ficha del cliente (2)" sheetId="11" r:id="rId11"/>
    <sheet name="Filtrar tabla" sheetId="8" r:id="rId12"/>
  </sheets>
  <definedNames>
    <definedName name="_xlnm._FilterDatabase" localSheetId="11" hidden="1">'Filtrar tabla'!$A$1:$H$121</definedName>
    <definedName name="_xlnm._FilterDatabase" localSheetId="2" hidden="1">'Insertar-Eliminar filas'!$A$1:$G$26</definedName>
    <definedName name="_xlnm._FilterDatabase" localSheetId="0" hidden="1">'Limpiar base'!$A$1:$G$26</definedName>
    <definedName name="_xlnm._FilterDatabase" localSheetId="1" hidden="1">'Limpiar base backup'!$A$1:$G$26</definedName>
    <definedName name="_xleta.SUBTOTAL" hidden="1" xlm="1">#NAME?</definedName>
    <definedName name="_xleta.SUM" hidden="1" xlm="1">#NAME?</definedName>
  </definedNames>
  <calcPr calcId="191029"/>
  <pivotCaches>
    <pivotCache cacheId="8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8" l="1"/>
  <c r="Q4" i="8" s="1"/>
  <c r="P2" i="8"/>
</calcChain>
</file>

<file path=xl/sharedStrings.xml><?xml version="1.0" encoding="utf-8"?>
<sst xmlns="http://schemas.openxmlformats.org/spreadsheetml/2006/main" count="918" uniqueCount="188">
  <si>
    <t>Fecha</t>
  </si>
  <si>
    <t>Producto</t>
  </si>
  <si>
    <t>Marca</t>
  </si>
  <si>
    <t>Vendedor</t>
  </si>
  <si>
    <t>Precio Unitario</t>
  </si>
  <si>
    <t>Cantidad Vendida</t>
  </si>
  <si>
    <t>Valor Total</t>
  </si>
  <si>
    <t>Televisor</t>
  </si>
  <si>
    <t>Samsung</t>
  </si>
  <si>
    <t>Juan Pérez</t>
  </si>
  <si>
    <t>Laura Gómez</t>
  </si>
  <si>
    <t>Celular</t>
  </si>
  <si>
    <t>Apple</t>
  </si>
  <si>
    <t>Carlos Fernández</t>
  </si>
  <si>
    <t>Laptop</t>
  </si>
  <si>
    <t>Dell</t>
  </si>
  <si>
    <t>Marta Rodríguez</t>
  </si>
  <si>
    <t>LG</t>
  </si>
  <si>
    <t>HP</t>
  </si>
  <si>
    <t>Sony</t>
  </si>
  <si>
    <t>Ana Martínez</t>
  </si>
  <si>
    <t>Google</t>
  </si>
  <si>
    <t>Javier Morales</t>
  </si>
  <si>
    <t>Asus</t>
  </si>
  <si>
    <t>Pedro González</t>
  </si>
  <si>
    <t>Paula Rodríguez</t>
  </si>
  <si>
    <t>Lenovo</t>
  </si>
  <si>
    <t>Luis Hernández</t>
  </si>
  <si>
    <t>Juan_Pérez</t>
  </si>
  <si>
    <t>Carlos Fernández%</t>
  </si>
  <si>
    <t>Luis Herná@ndez</t>
  </si>
  <si>
    <t>Dell#</t>
  </si>
  <si>
    <t>LG@</t>
  </si>
  <si>
    <t>Marta_Rodríguez</t>
  </si>
  <si>
    <t>Pedro_González</t>
  </si>
  <si>
    <t>Nombre:</t>
  </si>
  <si>
    <t>E-mail:</t>
  </si>
  <si>
    <t>Móvil:</t>
  </si>
  <si>
    <t>Fecha de nacimiento:</t>
  </si>
  <si>
    <t>Ficha del cliente</t>
  </si>
  <si>
    <t>Etiquetas de fila</t>
  </si>
  <si>
    <t>Total general</t>
  </si>
  <si>
    <t>Suma de Valor Total</t>
  </si>
  <si>
    <t>Año</t>
  </si>
  <si>
    <t>Mes</t>
  </si>
  <si>
    <t>Cliente</t>
  </si>
  <si>
    <t>País</t>
  </si>
  <si>
    <t>Valor</t>
  </si>
  <si>
    <t>MétodoDePago</t>
  </si>
  <si>
    <t>ene</t>
  </si>
  <si>
    <t>Juan Garcia</t>
  </si>
  <si>
    <t>Chile</t>
  </si>
  <si>
    <t>Producto B</t>
  </si>
  <si>
    <t>Transferencia bancaria</t>
  </si>
  <si>
    <t>Maria Lopez</t>
  </si>
  <si>
    <t>Colombia</t>
  </si>
  <si>
    <t>Producto C</t>
  </si>
  <si>
    <t>Tarjeta de débito</t>
  </si>
  <si>
    <t>Clara Oliva</t>
  </si>
  <si>
    <t>México</t>
  </si>
  <si>
    <t>Agustina Saez</t>
  </si>
  <si>
    <t>Argentina</t>
  </si>
  <si>
    <t>Tarjeta de crédito</t>
  </si>
  <si>
    <t>Jose Muñoz</t>
  </si>
  <si>
    <t>España</t>
  </si>
  <si>
    <t>Producto D</t>
  </si>
  <si>
    <t>Diego Tejada</t>
  </si>
  <si>
    <t>Producto A</t>
  </si>
  <si>
    <t>Tobias Garcia</t>
  </si>
  <si>
    <t>Adrian Marin</t>
  </si>
  <si>
    <t>Adriana Ortega</t>
  </si>
  <si>
    <t>Vicente Peña</t>
  </si>
  <si>
    <t>Veronica Laguna</t>
  </si>
  <si>
    <t>Nuria Pacheco</t>
  </si>
  <si>
    <t>Pilar Gil</t>
  </si>
  <si>
    <t>Sofia Abad</t>
  </si>
  <si>
    <t>Juan Moreno</t>
  </si>
  <si>
    <t>Juan Saenz</t>
  </si>
  <si>
    <t>Maria Moya</t>
  </si>
  <si>
    <t>Jose Gutierrez</t>
  </si>
  <si>
    <t>Jose Suarez</t>
  </si>
  <si>
    <t>Jose Carrasco</t>
  </si>
  <si>
    <t>Ana Bautista</t>
  </si>
  <si>
    <t>Laura Ramirez</t>
  </si>
  <si>
    <t>Laura Mendez</t>
  </si>
  <si>
    <t>Laura Bravo</t>
  </si>
  <si>
    <t>Laura Rojas</t>
  </si>
  <si>
    <t>Marta Crespo</t>
  </si>
  <si>
    <t>Marta Roldan</t>
  </si>
  <si>
    <t>Carlos Sanchez</t>
  </si>
  <si>
    <t>Carlos Blanco</t>
  </si>
  <si>
    <t>Carlos Rubio</t>
  </si>
  <si>
    <t>Carlos Palacios</t>
  </si>
  <si>
    <t>Elena Roldan</t>
  </si>
  <si>
    <t>Miguel Serrano</t>
  </si>
  <si>
    <t>Miguel Vega</t>
  </si>
  <si>
    <t>Carmen Ruiz</t>
  </si>
  <si>
    <t>Carmen Rojas</t>
  </si>
  <si>
    <t>Jorge Moreno</t>
  </si>
  <si>
    <t>Jorge Aguilar</t>
  </si>
  <si>
    <t>Andres Rios</t>
  </si>
  <si>
    <t>Andres Montes</t>
  </si>
  <si>
    <t>Isabel Leon</t>
  </si>
  <si>
    <t>Isabel Pascual</t>
  </si>
  <si>
    <t>Roberto Gonzalez</t>
  </si>
  <si>
    <t>Roberto Ortiz</t>
  </si>
  <si>
    <t>Sofia Muñoz</t>
  </si>
  <si>
    <t>Sofia Garrido</t>
  </si>
  <si>
    <t>Sofia Soler</t>
  </si>
  <si>
    <t>Sofia Bernal</t>
  </si>
  <si>
    <t>Fernando Fernandez</t>
  </si>
  <si>
    <t>Fernando Serrano</t>
  </si>
  <si>
    <t>Fernando Carrasco</t>
  </si>
  <si>
    <t>Fernando Mariscal</t>
  </si>
  <si>
    <t>Fernando Oliva</t>
  </si>
  <si>
    <t>Paula Moreno</t>
  </si>
  <si>
    <t>Paula Gutierrez</t>
  </si>
  <si>
    <t>Paula Cruz</t>
  </si>
  <si>
    <t>Sergio Ortiz</t>
  </si>
  <si>
    <t>Sergio Mora</t>
  </si>
  <si>
    <t>Sergio Santiago</t>
  </si>
  <si>
    <t>Sergio Villanueva</t>
  </si>
  <si>
    <t>Sara Franco</t>
  </si>
  <si>
    <t>David Diaz</t>
  </si>
  <si>
    <t>David Soler</t>
  </si>
  <si>
    <t>David Tejada</t>
  </si>
  <si>
    <t>Patricia Delgado</t>
  </si>
  <si>
    <t>Manuel Palacios</t>
  </si>
  <si>
    <t>Cristina Suarez</t>
  </si>
  <si>
    <t>Cristina Leon</t>
  </si>
  <si>
    <t>Cristina Solis</t>
  </si>
  <si>
    <t>Alberto Flores</t>
  </si>
  <si>
    <t>Alberto Rios</t>
  </si>
  <si>
    <t>Alberto Bautista</t>
  </si>
  <si>
    <t>Claudia Moya</t>
  </si>
  <si>
    <t>Daniel Castillo</t>
  </si>
  <si>
    <t>Rosa Moreno</t>
  </si>
  <si>
    <t>Vicente Castro</t>
  </si>
  <si>
    <t>Vicente Mariscal</t>
  </si>
  <si>
    <t>Juan Ruiz</t>
  </si>
  <si>
    <t>Pilar Herrero</t>
  </si>
  <si>
    <t>Ricardo Blasco</t>
  </si>
  <si>
    <t>Gloria Fernandez</t>
  </si>
  <si>
    <t>Gloria Bautista</t>
  </si>
  <si>
    <t>Alfonso Gonzalez</t>
  </si>
  <si>
    <t>Teresa Bautista</t>
  </si>
  <si>
    <t>Victoria Cortes</t>
  </si>
  <si>
    <t>Javier Lopez</t>
  </si>
  <si>
    <t>Rocio Marin</t>
  </si>
  <si>
    <t>Rocio Cano</t>
  </si>
  <si>
    <t>Rocio Gallego</t>
  </si>
  <si>
    <t>Rocio Parra</t>
  </si>
  <si>
    <t>Hugo Carrasco</t>
  </si>
  <si>
    <t>Hugo Hidalgo</t>
  </si>
  <si>
    <t>Hugo Redondo</t>
  </si>
  <si>
    <t>Alicia Caballero</t>
  </si>
  <si>
    <t>Alicia Ibañez</t>
  </si>
  <si>
    <t>Ramon Vega</t>
  </si>
  <si>
    <t>Ramon Ibañez</t>
  </si>
  <si>
    <t>Ramon Galvez</t>
  </si>
  <si>
    <t>Natalia Castro</t>
  </si>
  <si>
    <t>Emilio Prieto</t>
  </si>
  <si>
    <t>Emilio Bermudez</t>
  </si>
  <si>
    <t>Veronica Muñoz</t>
  </si>
  <si>
    <t>Veronica Torres</t>
  </si>
  <si>
    <t>Veronica Cano</t>
  </si>
  <si>
    <t>Veronica Benitez</t>
  </si>
  <si>
    <t>Veronica Saenz</t>
  </si>
  <si>
    <t>Veronica Blasco</t>
  </si>
  <si>
    <t>Ivan Perez</t>
  </si>
  <si>
    <t>Ivan Rubio</t>
  </si>
  <si>
    <t>Ivan Aguilar</t>
  </si>
  <si>
    <t>Ivan Montes</t>
  </si>
  <si>
    <t>Ivan Oliva</t>
  </si>
  <si>
    <t>Beatriz Gutierrez</t>
  </si>
  <si>
    <t>Beatriz Ramos</t>
  </si>
  <si>
    <t>Gonzalo Ramirez</t>
  </si>
  <si>
    <t>Gonzalo Galvez</t>
  </si>
  <si>
    <t>Raquel Oliva</t>
  </si>
  <si>
    <t>Francisco Martin</t>
  </si>
  <si>
    <t>Francisco Medina</t>
  </si>
  <si>
    <t>Francisco Pacheco</t>
  </si>
  <si>
    <t>Detalles para Suma de Valor Total - Marca: Google</t>
  </si>
  <si>
    <t>Dell@</t>
  </si>
  <si>
    <t>one@gmail.com</t>
  </si>
  <si>
    <t>dos</t>
  </si>
  <si>
    <t>dos@gmail.com</t>
  </si>
  <si>
    <t>11/19/2021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</si>
</sst>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_-* #,##0\ &quot;€&quot;_-;\-* #,##0\ &quot;€&quot;_-;_-* &quot;-&quot;??\ &quot;€&quot;_-;_-@_-"/>
    <numFmt numFmtId="166" formatCode="#,##0\ &quot;€&quot;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EF8D4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14" fontId="0" fillId="3" borderId="4" xfId="0" applyNumberFormat="1" applyFill="1" applyBorder="1" applyAlignment="1">
      <alignment vertical="center" wrapText="1"/>
    </xf>
    <xf numFmtId="0" fontId="0" fillId="3" borderId="4" xfId="0" applyFill="1" applyBorder="1" applyAlignment="1">
      <alignment vertical="center" wrapText="1"/>
    </xf>
    <xf numFmtId="165" fontId="0" fillId="3" borderId="4" xfId="1" applyNumberFormat="1" applyFont="1" applyFill="1" applyBorder="1" applyAlignment="1">
      <alignment vertical="center" wrapText="1"/>
    </xf>
    <xf numFmtId="165" fontId="0" fillId="3" borderId="4" xfId="0" applyNumberFormat="1" applyFill="1" applyBorder="1" applyAlignment="1">
      <alignment vertical="center" wrapText="1"/>
    </xf>
    <xf numFmtId="14" fontId="0" fillId="3" borderId="5" xfId="0" applyNumberFormat="1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165" fontId="0" fillId="3" borderId="5" xfId="1" applyNumberFormat="1" applyFont="1" applyFill="1" applyBorder="1" applyAlignment="1">
      <alignment vertical="center" wrapText="1"/>
    </xf>
    <xf numFmtId="165" fontId="0" fillId="3" borderId="5" xfId="0" applyNumberFormat="1" applyFill="1" applyBorder="1" applyAlignment="1">
      <alignment vertical="center" wrapText="1"/>
    </xf>
    <xf numFmtId="14" fontId="0" fillId="3" borderId="6" xfId="0" applyNumberFormat="1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65" fontId="0" fillId="3" borderId="6" xfId="1" applyNumberFormat="1" applyFont="1" applyFill="1" applyBorder="1" applyAlignment="1">
      <alignment vertical="center" wrapText="1"/>
    </xf>
    <xf numFmtId="165" fontId="0" fillId="3" borderId="6" xfId="0" applyNumberFormat="1" applyFill="1" applyBorder="1" applyAlignment="1">
      <alignment vertical="center" wrapText="1"/>
    </xf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0" xfId="0" applyFill="1"/>
    <xf numFmtId="0" fontId="2" fillId="4" borderId="0" xfId="0" applyFont="1" applyFill="1" applyAlignment="1">
      <alignment horizontal="center" vertical="center"/>
    </xf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2" borderId="7" xfId="0" applyFill="1" applyBorder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left"/>
    </xf>
    <xf numFmtId="0" fontId="4" fillId="5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14" fontId="0" fillId="0" borderId="0" xfId="0" applyNumberFormat="1"/>
    <xf numFmtId="0" fontId="2" fillId="0" borderId="0" xfId="0" applyFont="1"/>
    <xf numFmtId="0" fontId="5" fillId="3" borderId="5" xfId="2" applyFill="1" applyBorder="1" applyAlignment="1">
      <alignment vertical="center" wrapText="1"/>
    </xf>
    <xf numFmtId="0" fontId="5" fillId="2" borderId="7" xfId="2" applyFill="1" applyBorder="1"/>
    <xf numFmtId="14" fontId="0" fillId="2" borderId="7" xfId="0" applyNumberFormat="1" applyFill="1" applyBorder="1"/>
    <xf numFmtId="164" fontId="0" fillId="0" borderId="0" xfId="0" applyNumberFormat="1"/>
  </cellXfs>
  <cellStyles count="3">
    <cellStyle name="Hipervínculo" xfId="2" builtinId="8"/>
    <cellStyle name="Moneda" xfId="1" builtinId="4"/>
    <cellStyle name="Normal" xfId="0" builtinId="0"/>
  </cellStyles>
  <dxfs count="3">
    <dxf>
      <numFmt numFmtId="19" formatCode="dd/mm/yyyy"/>
    </dxf>
    <dxf>
      <numFmt numFmtId="19" formatCode="dd/mm/yyyy"/>
    </dxf>
    <dxf>
      <numFmt numFmtId="166" formatCode="#,##0\ &quot;€&quot;"/>
    </dxf>
  </dxfs>
  <tableStyles count="0" defaultTableStyle="TableStyleMedium2" defaultPivotStyle="PivotStyleLight16"/>
  <colors>
    <mruColors>
      <color rgb="FFFEF8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socialescantabria.blogspot.com/2012/01/rubendomfermapa-mundo-con-banderas.html" TargetMode="External"/><Relationship Id="rId3" Type="http://schemas.openxmlformats.org/officeDocument/2006/relationships/image" Target="../media/image2.png"/><Relationship Id="rId7" Type="http://schemas.openxmlformats.org/officeDocument/2006/relationships/hyperlink" Target="https://commons.wikimedia.org/wiki/File:Flag_of_Colombia.svg" TargetMode="External"/><Relationship Id="rId12" Type="http://schemas.openxmlformats.org/officeDocument/2006/relationships/image" Target="../media/image7.jpeg"/><Relationship Id="rId2" Type="http://schemas.openxmlformats.org/officeDocument/2006/relationships/hyperlink" Target="https://pt.wikipedia.org/wiki/Bandeira_da_Argentina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hyperlink" Target="https://en.m.wikipedia.org/wiki/Flag_of_spain" TargetMode="External"/><Relationship Id="rId5" Type="http://schemas.openxmlformats.org/officeDocument/2006/relationships/image" Target="../media/image3.png"/><Relationship Id="rId10" Type="http://schemas.openxmlformats.org/officeDocument/2006/relationships/image" Target="../media/image6.png"/><Relationship Id="rId4" Type="http://schemas.openxmlformats.org/officeDocument/2006/relationships/hyperlink" Target="https://en.wikipedia.org/wiki/Flag_of_Chile" TargetMode="External"/><Relationship Id="rId9" Type="http://schemas.openxmlformats.org/officeDocument/2006/relationships/hyperlink" Target="https://pixabay.com/en/mexico-flag-mexican-national-26989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82550</xdr:colOff>
      <xdr:row>2</xdr:row>
      <xdr:rowOff>107950</xdr:rowOff>
    </xdr:from>
    <xdr:to>
      <xdr:col>9</xdr:col>
      <xdr:colOff>431800</xdr:colOff>
      <xdr:row>4</xdr:row>
      <xdr:rowOff>133350</xdr:rowOff>
    </xdr:to>
    <xdr:sp macro="[0]!Limpiar_bas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8FA13E-9A6D-5A19-02AD-D4C29FF8C6BD}"/>
            </a:ext>
          </a:extLst>
        </xdr:cNvPr>
        <xdr:cNvSpPr/>
      </xdr:nvSpPr>
      <xdr:spPr>
        <a:xfrm>
          <a:off x="6819900" y="482600"/>
          <a:ext cx="1111250" cy="393700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Limpiar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556260</xdr:colOff>
      <xdr:row>4</xdr:row>
      <xdr:rowOff>102870</xdr:rowOff>
    </xdr:from>
    <xdr:to>
      <xdr:col>9</xdr:col>
      <xdr:colOff>38100</xdr:colOff>
      <xdr:row>7</xdr:row>
      <xdr:rowOff>3810</xdr:rowOff>
    </xdr:to>
    <xdr:sp macro="[0]!Insertar_fil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F5CD344-FEFB-51D5-86F0-B675BB8A163C}"/>
            </a:ext>
          </a:extLst>
        </xdr:cNvPr>
        <xdr:cNvSpPr/>
      </xdr:nvSpPr>
      <xdr:spPr>
        <a:xfrm>
          <a:off x="6126480" y="293370"/>
          <a:ext cx="1066800" cy="44958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Insertar fila</a:t>
          </a:r>
        </a:p>
      </xdr:txBody>
    </xdr:sp>
    <xdr:clientData/>
  </xdr:twoCellAnchor>
  <xdr:twoCellAnchor editAs="absolute">
    <xdr:from>
      <xdr:col>9</xdr:col>
      <xdr:colOff>190500</xdr:colOff>
      <xdr:row>4</xdr:row>
      <xdr:rowOff>102870</xdr:rowOff>
    </xdr:from>
    <xdr:to>
      <xdr:col>10</xdr:col>
      <xdr:colOff>464820</xdr:colOff>
      <xdr:row>7</xdr:row>
      <xdr:rowOff>3810</xdr:rowOff>
    </xdr:to>
    <xdr:sp macro="[0]!Eliminar_fil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139574D-17C5-4F91-8807-600DFD7A89D9}"/>
            </a:ext>
          </a:extLst>
        </xdr:cNvPr>
        <xdr:cNvSpPr/>
      </xdr:nvSpPr>
      <xdr:spPr>
        <a:xfrm>
          <a:off x="7345680" y="293370"/>
          <a:ext cx="1066800" cy="44958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Eliminar fila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762000</xdr:colOff>
      <xdr:row>0</xdr:row>
      <xdr:rowOff>160020</xdr:rowOff>
    </xdr:from>
    <xdr:to>
      <xdr:col>4</xdr:col>
      <xdr:colOff>411480</xdr:colOff>
      <xdr:row>3</xdr:row>
      <xdr:rowOff>45720</xdr:rowOff>
    </xdr:to>
    <xdr:sp macro="[0]!Actualizar_T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1824C09-1E2C-A030-1D72-E5777A761AFF}"/>
            </a:ext>
          </a:extLst>
        </xdr:cNvPr>
        <xdr:cNvSpPr/>
      </xdr:nvSpPr>
      <xdr:spPr>
        <a:xfrm>
          <a:off x="3093720" y="160020"/>
          <a:ext cx="1234440" cy="43434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Actualizar TD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274320</xdr:colOff>
      <xdr:row>1</xdr:row>
      <xdr:rowOff>0</xdr:rowOff>
    </xdr:from>
    <xdr:to>
      <xdr:col>2</xdr:col>
      <xdr:colOff>548640</xdr:colOff>
      <xdr:row>3</xdr:row>
      <xdr:rowOff>68580</xdr:rowOff>
    </xdr:to>
    <xdr:sp macro="[0]!Nueva_ficha" textlink="">
      <xdr:nvSpPr>
        <xdr:cNvPr id="2" name="Rectángulo 1">
          <a:extLst>
            <a:ext uri="{FF2B5EF4-FFF2-40B4-BE49-F238E27FC236}">
              <a16:creationId xmlns:a16="http://schemas.microsoft.com/office/drawing/2014/main" id="{55D74E2D-04C3-474E-8388-1961D4875046}"/>
            </a:ext>
          </a:extLst>
        </xdr:cNvPr>
        <xdr:cNvSpPr/>
      </xdr:nvSpPr>
      <xdr:spPr>
        <a:xfrm>
          <a:off x="4648200" y="182880"/>
          <a:ext cx="1066800" cy="449580"/>
        </a:xfrm>
        <a:prstGeom prst="rect">
          <a:avLst/>
        </a:prstGeom>
        <a:solidFill>
          <a:srgbClr val="FEF8D4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Nueva ficha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495300</xdr:colOff>
      <xdr:row>0</xdr:row>
      <xdr:rowOff>171583</xdr:rowOff>
    </xdr:from>
    <xdr:to>
      <xdr:col>9</xdr:col>
      <xdr:colOff>346899</xdr:colOff>
      <xdr:row>3</xdr:row>
      <xdr:rowOff>25493</xdr:rowOff>
    </xdr:to>
    <xdr:pic macro="[0]!Filtrar_Argentina">
      <xdr:nvPicPr>
        <xdr:cNvPr id="3" name="Imagen 2">
          <a:extLst>
            <a:ext uri="{FF2B5EF4-FFF2-40B4-BE49-F238E27FC236}">
              <a16:creationId xmlns:a16="http://schemas.microsoft.com/office/drawing/2014/main" id="{A860A35D-61F2-EC33-0929-24F087C70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591300" y="171583"/>
          <a:ext cx="644079" cy="402550"/>
        </a:xfrm>
        <a:prstGeom prst="rect">
          <a:avLst/>
        </a:prstGeom>
      </xdr:spPr>
    </xdr:pic>
    <xdr:clientData/>
  </xdr:twoCellAnchor>
  <xdr:twoCellAnchor editAs="absolute">
    <xdr:from>
      <xdr:col>9</xdr:col>
      <xdr:colOff>471753</xdr:colOff>
      <xdr:row>0</xdr:row>
      <xdr:rowOff>170457</xdr:rowOff>
    </xdr:from>
    <xdr:to>
      <xdr:col>10</xdr:col>
      <xdr:colOff>286478</xdr:colOff>
      <xdr:row>3</xdr:row>
      <xdr:rowOff>26620</xdr:rowOff>
    </xdr:to>
    <xdr:pic macro="[0]!Filtrar_Chile">
      <xdr:nvPicPr>
        <xdr:cNvPr id="6" name="Imagen 5">
          <a:extLst>
            <a:ext uri="{FF2B5EF4-FFF2-40B4-BE49-F238E27FC236}">
              <a16:creationId xmlns:a16="http://schemas.microsoft.com/office/drawing/2014/main" id="{A5C9C1D5-A5D6-86BC-7BE4-F99B0B2A9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7360233" y="170457"/>
          <a:ext cx="607205" cy="404803"/>
        </a:xfrm>
        <a:prstGeom prst="rect">
          <a:avLst/>
        </a:prstGeom>
      </xdr:spPr>
    </xdr:pic>
    <xdr:clientData/>
  </xdr:twoCellAnchor>
  <xdr:twoCellAnchor editAs="absolute">
    <xdr:from>
      <xdr:col>10</xdr:col>
      <xdr:colOff>411332</xdr:colOff>
      <xdr:row>0</xdr:row>
      <xdr:rowOff>176193</xdr:rowOff>
    </xdr:from>
    <xdr:to>
      <xdr:col>11</xdr:col>
      <xdr:colOff>208849</xdr:colOff>
      <xdr:row>3</xdr:row>
      <xdr:rowOff>20884</xdr:rowOff>
    </xdr:to>
    <xdr:pic macro="[0]!Filtrar_Colombia">
      <xdr:nvPicPr>
        <xdr:cNvPr id="9" name="Gráfico 8">
          <a:extLst>
            <a:ext uri="{FF2B5EF4-FFF2-40B4-BE49-F238E27FC236}">
              <a16:creationId xmlns:a16="http://schemas.microsoft.com/office/drawing/2014/main" id="{9E933F9E-C6DA-8445-E302-FF53E3F79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  <a:ext uri="{837473B0-CC2E-450A-ABE3-18F120FF3D39}">
              <a1611:picAttrSrcUrl xmlns:a1611="http://schemas.microsoft.com/office/drawing/2016/11/main" r:id="rId7"/>
            </a:ext>
          </a:extLst>
        </a:blip>
        <a:stretch>
          <a:fillRect/>
        </a:stretch>
      </xdr:blipFill>
      <xdr:spPr>
        <a:xfrm>
          <a:off x="8092292" y="176193"/>
          <a:ext cx="589997" cy="393331"/>
        </a:xfrm>
        <a:prstGeom prst="rect">
          <a:avLst/>
        </a:prstGeom>
      </xdr:spPr>
    </xdr:pic>
    <xdr:clientData/>
  </xdr:twoCellAnchor>
  <xdr:twoCellAnchor editAs="absolute">
    <xdr:from>
      <xdr:col>11</xdr:col>
      <xdr:colOff>333703</xdr:colOff>
      <xdr:row>0</xdr:row>
      <xdr:rowOff>177801</xdr:rowOff>
    </xdr:from>
    <xdr:to>
      <xdr:col>12</xdr:col>
      <xdr:colOff>224636</xdr:colOff>
      <xdr:row>3</xdr:row>
      <xdr:rowOff>19276</xdr:rowOff>
    </xdr:to>
    <xdr:pic macro="[0]!Filtrar_Mexico">
      <xdr:nvPicPr>
        <xdr:cNvPr id="12" name="Imagen 11">
          <a:extLst>
            <a:ext uri="{FF2B5EF4-FFF2-40B4-BE49-F238E27FC236}">
              <a16:creationId xmlns:a16="http://schemas.microsoft.com/office/drawing/2014/main" id="{A5E1D6DF-8503-8B18-361E-5F7896B82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8807143" y="177801"/>
          <a:ext cx="683413" cy="390115"/>
        </a:xfrm>
        <a:prstGeom prst="rect">
          <a:avLst/>
        </a:prstGeom>
      </xdr:spPr>
    </xdr:pic>
    <xdr:clientData/>
  </xdr:twoCellAnchor>
  <xdr:twoCellAnchor editAs="absolute">
    <xdr:from>
      <xdr:col>12</xdr:col>
      <xdr:colOff>349490</xdr:colOff>
      <xdr:row>0</xdr:row>
      <xdr:rowOff>175373</xdr:rowOff>
    </xdr:from>
    <xdr:to>
      <xdr:col>13</xdr:col>
      <xdr:colOff>149465</xdr:colOff>
      <xdr:row>3</xdr:row>
      <xdr:rowOff>21703</xdr:rowOff>
    </xdr:to>
    <xdr:pic macro="[0]!Filtrar_España">
      <xdr:nvPicPr>
        <xdr:cNvPr id="14" name="Imagen 13">
          <a:extLst>
            <a:ext uri="{FF2B5EF4-FFF2-40B4-BE49-F238E27FC236}">
              <a16:creationId xmlns:a16="http://schemas.microsoft.com/office/drawing/2014/main" id="{EBC09C67-46EB-08AB-0C65-AAEC26ADC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615410" y="175373"/>
          <a:ext cx="592455" cy="394970"/>
        </a:xfrm>
        <a:prstGeom prst="rect">
          <a:avLst/>
        </a:prstGeom>
      </xdr:spPr>
    </xdr:pic>
    <xdr:clientData/>
  </xdr:twoCellAnchor>
  <xdr:twoCellAnchor editAs="oneCell">
    <xdr:from>
      <xdr:col>13</xdr:col>
      <xdr:colOff>274320</xdr:colOff>
      <xdr:row>0</xdr:row>
      <xdr:rowOff>169299</xdr:rowOff>
    </xdr:from>
    <xdr:to>
      <xdr:col>14</xdr:col>
      <xdr:colOff>262133</xdr:colOff>
      <xdr:row>3</xdr:row>
      <xdr:rowOff>27777</xdr:rowOff>
    </xdr:to>
    <xdr:pic macro="[0]!Borrar_Filtros">
      <xdr:nvPicPr>
        <xdr:cNvPr id="7" name="Imagen 6">
          <a:extLst>
            <a:ext uri="{FF2B5EF4-FFF2-40B4-BE49-F238E27FC236}">
              <a16:creationId xmlns:a16="http://schemas.microsoft.com/office/drawing/2014/main" id="{778D5DAD-873D-39F2-DA4E-BCFBCD541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0332720" y="169299"/>
          <a:ext cx="780293" cy="407118"/>
        </a:xfrm>
        <a:prstGeom prst="rect">
          <a:avLst/>
        </a:prstGeom>
      </xdr:spPr>
    </xdr:pic>
    <xdr:clientData/>
  </xdr:twoCellAnchor>
  <xdr:twoCellAnchor editAs="absolute">
    <xdr:from>
      <xdr:col>8</xdr:col>
      <xdr:colOff>495300</xdr:colOff>
      <xdr:row>4</xdr:row>
      <xdr:rowOff>38100</xdr:rowOff>
    </xdr:from>
    <xdr:to>
      <xdr:col>14</xdr:col>
      <xdr:colOff>274320</xdr:colOff>
      <xdr:row>5</xdr:row>
      <xdr:rowOff>121920</xdr:rowOff>
    </xdr:to>
    <xdr:sp macro="" textlink="$P$2">
      <xdr:nvSpPr>
        <xdr:cNvPr id="2" name="Rectángulo 1">
          <a:extLst>
            <a:ext uri="{FF2B5EF4-FFF2-40B4-BE49-F238E27FC236}">
              <a16:creationId xmlns:a16="http://schemas.microsoft.com/office/drawing/2014/main" id="{D05C53BF-D074-426A-66DF-5FAB418703FA}"/>
            </a:ext>
          </a:extLst>
        </xdr:cNvPr>
        <xdr:cNvSpPr/>
      </xdr:nvSpPr>
      <xdr:spPr>
        <a:xfrm>
          <a:off x="6591300" y="769620"/>
          <a:ext cx="4533900" cy="266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C8D93E0-395F-433C-8E14-5F3496973AF5}" type="TxLink">
            <a:rPr lang="en-US" sz="1200" b="0" i="0" u="none" strike="noStrike">
              <a:solidFill>
                <a:srgbClr val="000000"/>
              </a:solidFill>
              <a:latin typeface="Aptos Narrow"/>
            </a:rPr>
            <a:pPr algn="ctr"/>
            <a:t>Valor total de 49550€</a:t>
          </a:fld>
          <a:endParaRPr lang="es-ES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do Hernandez" refreshedDate="45915.782768634257" createdVersion="8" refreshedVersion="8" minRefreshableVersion="3" recordCount="25" xr:uid="{65C896B2-989C-433E-A1BE-9B969C16C55D}">
  <cacheSource type="worksheet">
    <worksheetSource ref="A1:G26" sheet="Limpiar base"/>
  </cacheSource>
  <cacheFields count="7">
    <cacheField name="Fecha" numFmtId="14">
      <sharedItems containsSemiMixedTypes="0" containsNonDate="0" containsDate="1" containsString="0" minDate="2024-08-01T00:00:00" maxDate="2024-08-14T00:00:00"/>
    </cacheField>
    <cacheField name="Producto" numFmtId="0">
      <sharedItems/>
    </cacheField>
    <cacheField name="Marca" numFmtId="0">
      <sharedItems count="12">
        <s v="Samsung"/>
        <s v="Apple"/>
        <s v="Dell"/>
        <s v="LG"/>
        <s v="Dell@"/>
        <s v="HP"/>
        <s v="Sony"/>
        <s v="Google"/>
        <s v="Asus"/>
        <s v="Lenovo"/>
        <s v="Dell#" u="1"/>
        <s v="LG@" u="1"/>
      </sharedItems>
    </cacheField>
    <cacheField name="Vendedor" numFmtId="0">
      <sharedItems/>
    </cacheField>
    <cacheField name="Precio Unitario" numFmtId="165">
      <sharedItems containsSemiMixedTypes="0" containsString="0" containsNumber="1" minValue="1.2" maxValue="1200"/>
    </cacheField>
    <cacheField name="Cantidad Vendida" numFmtId="0">
      <sharedItems containsSemiMixedTypes="0" containsString="0" containsNumber="1" containsInteger="1" minValue="1" maxValue="5"/>
    </cacheField>
    <cacheField name="Valor Total" numFmtId="165">
      <sharedItems containsSemiMixedTypes="0" containsString="0" containsNumber="1" minValue="1.2" maxValue="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d v="2024-08-01T00:00:00"/>
    <s v="Televisor"/>
    <x v="0"/>
    <s v="Juan Pérez"/>
    <n v="500"/>
    <n v="2"/>
    <n v="1000"/>
  </r>
  <r>
    <d v="2024-08-01T00:00:00"/>
    <s v="Televisor"/>
    <x v="0"/>
    <s v="Laura Gómez"/>
    <n v="500"/>
    <n v="1"/>
    <n v="500"/>
  </r>
  <r>
    <d v="2024-08-02T00:00:00"/>
    <s v="Celular"/>
    <x v="1"/>
    <s v="Carlos Fernández"/>
    <n v="1200"/>
    <n v="3"/>
    <n v="3600"/>
  </r>
  <r>
    <d v="2024-08-02T00:00:00"/>
    <s v="Celular"/>
    <x v="1"/>
    <s v="Laura Gómez"/>
    <n v="1.2"/>
    <n v="1"/>
    <n v="1.2"/>
  </r>
  <r>
    <d v="2024-08-03T00:00:00"/>
    <s v="Laptop"/>
    <x v="2"/>
    <s v="Marta Rodríguez"/>
    <n v="800"/>
    <n v="5"/>
    <n v="4000"/>
  </r>
  <r>
    <d v="2024-08-03T00:00:00"/>
    <s v="Televisor"/>
    <x v="3"/>
    <s v="Juan Pérez"/>
    <n v="450"/>
    <n v="2"/>
    <n v="900"/>
  </r>
  <r>
    <d v="2024-08-04T00:00:00"/>
    <s v="Laptop"/>
    <x v="4"/>
    <s v="Marta Rodríguez"/>
    <n v="800"/>
    <n v="2"/>
    <n v="1600"/>
  </r>
  <r>
    <d v="2024-08-04T00:00:00"/>
    <s v="Celular"/>
    <x v="1"/>
    <s v="Carlos Fernández"/>
    <n v="1200"/>
    <n v="2"/>
    <n v="2400"/>
  </r>
  <r>
    <d v="2024-08-05T00:00:00"/>
    <s v="Televisor"/>
    <x v="3"/>
    <s v="Laura Gómez"/>
    <n v="450"/>
    <n v="1"/>
    <n v="450"/>
  </r>
  <r>
    <d v="2024-08-05T00:00:00"/>
    <s v="Celular"/>
    <x v="0"/>
    <s v="Carlos Fernández"/>
    <n v="900"/>
    <n v="4"/>
    <n v="3600"/>
  </r>
  <r>
    <d v="2024-08-06T00:00:00"/>
    <s v="Laptop"/>
    <x v="5"/>
    <s v="Marta Rodríguez"/>
    <n v="750"/>
    <n v="3"/>
    <n v="2250"/>
  </r>
  <r>
    <d v="2024-08-06T00:00:00"/>
    <s v="Televisor"/>
    <x v="0"/>
    <s v="Juan Pérez"/>
    <n v="500"/>
    <n v="3"/>
    <n v="1500"/>
  </r>
  <r>
    <d v="2024-08-07T00:00:00"/>
    <s v="Celular"/>
    <x v="0"/>
    <s v="Laura Gómez"/>
    <n v="900"/>
    <n v="2"/>
    <n v="1800"/>
  </r>
  <r>
    <d v="2024-08-07T00:00:00"/>
    <s v="Laptop"/>
    <x v="2"/>
    <s v="Marta Rodríguez"/>
    <n v="800"/>
    <n v="1"/>
    <n v="800"/>
  </r>
  <r>
    <d v="2024-08-08T00:00:00"/>
    <s v="Televisor"/>
    <x v="3"/>
    <s v="Juan Pérez"/>
    <n v="450"/>
    <n v="4"/>
    <n v="1800"/>
  </r>
  <r>
    <d v="2024-08-09T00:00:00"/>
    <s v="Televisor"/>
    <x v="6"/>
    <s v="Ana Martínez"/>
    <n v="600"/>
    <n v="3"/>
    <n v="1800"/>
  </r>
  <r>
    <d v="2024-08-09T00:00:00"/>
    <s v="Celular"/>
    <x v="7"/>
    <s v="Javier Morales"/>
    <n v="1000"/>
    <n v="2"/>
    <n v="2000"/>
  </r>
  <r>
    <d v="2024-08-10T00:00:00"/>
    <s v="Laptop"/>
    <x v="8"/>
    <s v="Pedro González"/>
    <n v="850"/>
    <n v="4"/>
    <n v="3400"/>
  </r>
  <r>
    <d v="2024-08-10T00:00:00"/>
    <s v="Televisor"/>
    <x v="3"/>
    <s v="Ana Martínez"/>
    <n v="450"/>
    <n v="2"/>
    <n v="900"/>
  </r>
  <r>
    <d v="2024-08-11T00:00:00"/>
    <s v="Celular"/>
    <x v="0"/>
    <s v="Paula Rodríguez"/>
    <n v="950"/>
    <n v="3"/>
    <n v="2850"/>
  </r>
  <r>
    <d v="2024-08-11T00:00:00"/>
    <s v="Laptop"/>
    <x v="9"/>
    <s v="Luis Hernández"/>
    <n v="700"/>
    <n v="2"/>
    <n v="1400"/>
  </r>
  <r>
    <d v="2024-08-12T00:00:00"/>
    <s v="Televisor"/>
    <x v="6"/>
    <s v="Javier Morales"/>
    <n v="600"/>
    <n v="1"/>
    <n v="600"/>
  </r>
  <r>
    <d v="2024-08-12T00:00:00"/>
    <s v="Celular"/>
    <x v="7"/>
    <s v="Pedro González"/>
    <n v="1000"/>
    <n v="1"/>
    <n v="1000"/>
  </r>
  <r>
    <d v="2024-08-13T00:00:00"/>
    <s v="Laptop"/>
    <x v="5"/>
    <s v="Paula Rodríguez"/>
    <n v="750"/>
    <n v="3"/>
    <n v="2250"/>
  </r>
  <r>
    <d v="2024-08-13T00:00:00"/>
    <s v="Televisor"/>
    <x v="0"/>
    <s v="Luis Hernández"/>
    <n v="500"/>
    <n v="2"/>
    <n v="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461125-F1BD-488D-A419-7CEB7A898668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B12" firstHeaderRow="1" firstDataRow="1" firstDataCol="1"/>
  <pivotFields count="7">
    <pivotField showAll="0"/>
    <pivotField showAll="0"/>
    <pivotField axis="axisRow" showAll="0">
      <items count="13">
        <item x="1"/>
        <item x="8"/>
        <item m="1" x="10"/>
        <item x="7"/>
        <item x="5"/>
        <item x="9"/>
        <item m="1" x="11"/>
        <item x="0"/>
        <item x="6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11">
    <i>
      <x/>
    </i>
    <i>
      <x v="1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a de Valor Total" fld="6" baseField="0" baseItem="0" numFmtId="166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69C22B-1A2F-451A-8FAB-B8A03ACC6C34}" name="Tabla1" displayName="Tabla1" ref="A3:G5" totalsRowShown="0">
  <autoFilter ref="A3:G5" xr:uid="{F469C22B-1A2F-451A-8FAB-B8A03ACC6C34}"/>
  <tableColumns count="7">
    <tableColumn id="1" xr3:uid="{7F337602-A020-4A9E-B05E-42A8860BE3AB}" name="Fecha" dataDxfId="1"/>
    <tableColumn id="2" xr3:uid="{8B13C249-AB14-44DA-BCA6-833627917694}" name="Producto"/>
    <tableColumn id="3" xr3:uid="{36C4941A-AAFA-4B95-8996-D0D90EC9E06D}" name="Marca"/>
    <tableColumn id="4" xr3:uid="{F288D132-A6F5-4971-ACAA-6F848302744B}" name="Vendedor"/>
    <tableColumn id="5" xr3:uid="{0E45BBBE-978A-48FB-B235-5B8F782D5468}" name="Precio Unitario"/>
    <tableColumn id="6" xr3:uid="{6B247496-B703-408E-9A2C-08A36CE4A11D}" name="Cantidad Vendida"/>
    <tableColumn id="7" xr3:uid="{2EEC08B6-28C7-4C3F-BF1C-643CD5140D47}" name="Valor 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35DE4-6B8F-4E47-82C5-4FF39BF7343B}" name="Tabla2" displayName="Tabla2" ref="A1:G3" totalsRowShown="0">
  <autoFilter ref="A1:G3" xr:uid="{E0135DE4-6B8F-4E47-82C5-4FF39BF7343B}"/>
  <tableColumns count="7">
    <tableColumn id="1" xr3:uid="{FFB1EDC8-266C-43B8-A04D-AF8BB7A36868}" name="Fecha" dataDxfId="0"/>
    <tableColumn id="2" xr3:uid="{8FCF1FB7-4FB5-4CDA-B783-0E4E1CE313FB}" name="Producto"/>
    <tableColumn id="3" xr3:uid="{5D9DC5D1-697B-4202-8C92-D755690AA650}" name="Marca"/>
    <tableColumn id="4" xr3:uid="{6B803404-CDCD-4EE6-BA0B-B24E9E3BC2F2}" name="Vendedor"/>
    <tableColumn id="5" xr3:uid="{AA655304-E8B9-4C9F-A179-353B89354E6F}" name="Precio Unitario"/>
    <tableColumn id="6" xr3:uid="{1C547511-90D6-4588-85DC-C9CF9D51E9F9}" name="Cantidad Vendida"/>
    <tableColumn id="7" xr3:uid="{85921F70-E5DE-401D-AA56-517EE34713AA}" name="Valor 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Dell@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dos@gmail.com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one@gmail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0A9F3-CCF1-4087-A76A-156ABE3054E0}">
  <sheetPr codeName="Hoja1">
    <tabColor theme="5" tint="0.79998168889431442"/>
  </sheetPr>
  <dimension ref="A1:G26"/>
  <sheetViews>
    <sheetView showGridLines="0" workbookViewId="0">
      <selection activeCell="H21" sqref="H21"/>
    </sheetView>
  </sheetViews>
  <sheetFormatPr baseColWidth="10" defaultRowHeight="14.5" x14ac:dyDescent="0.35"/>
  <cols>
    <col min="1" max="1" width="10.36328125" bestFit="1" customWidth="1"/>
    <col min="2" max="2" width="8.54296875" bestFit="1" customWidth="1"/>
    <col min="3" max="3" width="8.36328125" bestFit="1" customWidth="1"/>
    <col min="4" max="4" width="19.1796875" customWidth="1"/>
    <col min="5" max="5" width="13.36328125" bestFit="1" customWidth="1"/>
    <col min="6" max="6" width="15.90625" bestFit="1" customWidth="1"/>
    <col min="7" max="7" width="9.81640625" bestFit="1" customWidth="1"/>
  </cols>
  <sheetData>
    <row r="1" spans="1:7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5">
      <c r="A2" s="4">
        <v>45505</v>
      </c>
      <c r="B2" s="5" t="s">
        <v>7</v>
      </c>
      <c r="C2" s="5" t="s">
        <v>8</v>
      </c>
      <c r="D2" s="5" t="s">
        <v>9</v>
      </c>
      <c r="E2" s="6">
        <v>500</v>
      </c>
      <c r="F2" s="5">
        <v>2</v>
      </c>
      <c r="G2" s="7">
        <v>1000</v>
      </c>
    </row>
    <row r="3" spans="1:7" x14ac:dyDescent="0.35">
      <c r="A3" s="8">
        <v>45505</v>
      </c>
      <c r="B3" s="9" t="s">
        <v>7</v>
      </c>
      <c r="C3" s="9" t="s">
        <v>8</v>
      </c>
      <c r="D3" s="9" t="s">
        <v>10</v>
      </c>
      <c r="E3" s="10">
        <v>500</v>
      </c>
      <c r="F3" s="9">
        <v>1</v>
      </c>
      <c r="G3" s="11">
        <v>500</v>
      </c>
    </row>
    <row r="4" spans="1:7" x14ac:dyDescent="0.35">
      <c r="A4" s="8">
        <v>45506</v>
      </c>
      <c r="B4" s="9" t="s">
        <v>11</v>
      </c>
      <c r="C4" s="9" t="s">
        <v>12</v>
      </c>
      <c r="D4" s="9" t="s">
        <v>13</v>
      </c>
      <c r="E4" s="10">
        <v>1200</v>
      </c>
      <c r="F4" s="9">
        <v>3</v>
      </c>
      <c r="G4" s="11">
        <v>3600</v>
      </c>
    </row>
    <row r="5" spans="1:7" x14ac:dyDescent="0.35">
      <c r="A5" s="8">
        <v>45506</v>
      </c>
      <c r="B5" s="9" t="s">
        <v>11</v>
      </c>
      <c r="C5" s="9" t="s">
        <v>12</v>
      </c>
      <c r="D5" s="9" t="s">
        <v>10</v>
      </c>
      <c r="E5" s="10">
        <v>1.2</v>
      </c>
      <c r="F5" s="9">
        <v>1</v>
      </c>
      <c r="G5" s="11">
        <v>1.2</v>
      </c>
    </row>
    <row r="6" spans="1:7" x14ac:dyDescent="0.35">
      <c r="A6" s="8">
        <v>45507</v>
      </c>
      <c r="B6" s="9" t="s">
        <v>14</v>
      </c>
      <c r="C6" s="9" t="s">
        <v>15</v>
      </c>
      <c r="D6" s="9" t="s">
        <v>16</v>
      </c>
      <c r="E6" s="10">
        <v>800</v>
      </c>
      <c r="F6" s="9">
        <v>5</v>
      </c>
      <c r="G6" s="11">
        <v>4000</v>
      </c>
    </row>
    <row r="7" spans="1:7" x14ac:dyDescent="0.35">
      <c r="A7" s="8">
        <v>45507</v>
      </c>
      <c r="B7" s="9" t="s">
        <v>7</v>
      </c>
      <c r="C7" s="9" t="s">
        <v>17</v>
      </c>
      <c r="D7" s="5" t="s">
        <v>9</v>
      </c>
      <c r="E7" s="10">
        <v>450</v>
      </c>
      <c r="F7" s="9">
        <v>2</v>
      </c>
      <c r="G7" s="11">
        <v>900</v>
      </c>
    </row>
    <row r="8" spans="1:7" x14ac:dyDescent="0.35">
      <c r="A8" s="8">
        <v>45508</v>
      </c>
      <c r="B8" s="9" t="s">
        <v>14</v>
      </c>
      <c r="C8" s="36" t="s">
        <v>183</v>
      </c>
      <c r="D8" s="9" t="s">
        <v>16</v>
      </c>
      <c r="E8" s="10">
        <v>800</v>
      </c>
      <c r="F8" s="9">
        <v>2</v>
      </c>
      <c r="G8" s="11">
        <v>1600</v>
      </c>
    </row>
    <row r="9" spans="1:7" x14ac:dyDescent="0.35">
      <c r="A9" s="8">
        <v>45508</v>
      </c>
      <c r="B9" s="9" t="s">
        <v>11</v>
      </c>
      <c r="C9" s="9" t="s">
        <v>12</v>
      </c>
      <c r="D9" s="9" t="s">
        <v>13</v>
      </c>
      <c r="E9" s="10">
        <v>1200</v>
      </c>
      <c r="F9" s="9">
        <v>2</v>
      </c>
      <c r="G9" s="11">
        <v>2400</v>
      </c>
    </row>
    <row r="10" spans="1:7" x14ac:dyDescent="0.35">
      <c r="A10" s="8">
        <v>45509</v>
      </c>
      <c r="B10" s="9" t="s">
        <v>7</v>
      </c>
      <c r="C10" s="9" t="s">
        <v>17</v>
      </c>
      <c r="D10" s="9" t="s">
        <v>10</v>
      </c>
      <c r="E10" s="10">
        <v>450</v>
      </c>
      <c r="F10" s="9">
        <v>1</v>
      </c>
      <c r="G10" s="11">
        <v>450</v>
      </c>
    </row>
    <row r="11" spans="1:7" x14ac:dyDescent="0.35">
      <c r="A11" s="8">
        <v>45509</v>
      </c>
      <c r="B11" s="9" t="s">
        <v>11</v>
      </c>
      <c r="C11" s="9" t="s">
        <v>8</v>
      </c>
      <c r="D11" s="9" t="s">
        <v>13</v>
      </c>
      <c r="E11" s="10">
        <v>900</v>
      </c>
      <c r="F11" s="9">
        <v>4</v>
      </c>
      <c r="G11" s="11">
        <v>3600</v>
      </c>
    </row>
    <row r="12" spans="1:7" x14ac:dyDescent="0.35">
      <c r="A12" s="8">
        <v>45510</v>
      </c>
      <c r="B12" s="9" t="s">
        <v>14</v>
      </c>
      <c r="C12" s="9" t="s">
        <v>18</v>
      </c>
      <c r="D12" s="9" t="s">
        <v>16</v>
      </c>
      <c r="E12" s="10">
        <v>750</v>
      </c>
      <c r="F12" s="9">
        <v>3</v>
      </c>
      <c r="G12" s="11">
        <v>2250</v>
      </c>
    </row>
    <row r="13" spans="1:7" x14ac:dyDescent="0.35">
      <c r="A13" s="8">
        <v>45510</v>
      </c>
      <c r="B13" s="9" t="s">
        <v>7</v>
      </c>
      <c r="C13" s="9" t="s">
        <v>8</v>
      </c>
      <c r="D13" s="5" t="s">
        <v>9</v>
      </c>
      <c r="E13" s="10">
        <v>500</v>
      </c>
      <c r="F13" s="9">
        <v>3</v>
      </c>
      <c r="G13" s="11">
        <v>1500</v>
      </c>
    </row>
    <row r="14" spans="1:7" x14ac:dyDescent="0.35">
      <c r="A14" s="8">
        <v>45511</v>
      </c>
      <c r="B14" s="9" t="s">
        <v>11</v>
      </c>
      <c r="C14" s="9" t="s">
        <v>8</v>
      </c>
      <c r="D14" s="9" t="s">
        <v>10</v>
      </c>
      <c r="E14" s="10">
        <v>900</v>
      </c>
      <c r="F14" s="9">
        <v>2</v>
      </c>
      <c r="G14" s="11">
        <v>1800</v>
      </c>
    </row>
    <row r="15" spans="1:7" x14ac:dyDescent="0.35">
      <c r="A15" s="8">
        <v>45511</v>
      </c>
      <c r="B15" s="9" t="s">
        <v>14</v>
      </c>
      <c r="C15" s="9" t="s">
        <v>15</v>
      </c>
      <c r="D15" s="9" t="s">
        <v>16</v>
      </c>
      <c r="E15" s="10">
        <v>800</v>
      </c>
      <c r="F15" s="9">
        <v>1</v>
      </c>
      <c r="G15" s="11">
        <v>800</v>
      </c>
    </row>
    <row r="16" spans="1:7" x14ac:dyDescent="0.35">
      <c r="A16" s="8">
        <v>45512</v>
      </c>
      <c r="B16" s="9" t="s">
        <v>7</v>
      </c>
      <c r="C16" s="9" t="s">
        <v>17</v>
      </c>
      <c r="D16" s="5" t="s">
        <v>9</v>
      </c>
      <c r="E16" s="10">
        <v>450</v>
      </c>
      <c r="F16" s="9">
        <v>4</v>
      </c>
      <c r="G16" s="11">
        <v>1800</v>
      </c>
    </row>
    <row r="17" spans="1:7" x14ac:dyDescent="0.35">
      <c r="A17" s="8">
        <v>45513</v>
      </c>
      <c r="B17" s="9" t="s">
        <v>7</v>
      </c>
      <c r="C17" s="9" t="s">
        <v>19</v>
      </c>
      <c r="D17" s="9" t="s">
        <v>20</v>
      </c>
      <c r="E17" s="10">
        <v>600</v>
      </c>
      <c r="F17" s="9">
        <v>3</v>
      </c>
      <c r="G17" s="11">
        <v>1800</v>
      </c>
    </row>
    <row r="18" spans="1:7" x14ac:dyDescent="0.35">
      <c r="A18" s="8">
        <v>45513</v>
      </c>
      <c r="B18" s="9" t="s">
        <v>11</v>
      </c>
      <c r="C18" s="9" t="s">
        <v>21</v>
      </c>
      <c r="D18" s="9" t="s">
        <v>22</v>
      </c>
      <c r="E18" s="10">
        <v>1000</v>
      </c>
      <c r="F18" s="9">
        <v>2</v>
      </c>
      <c r="G18" s="11">
        <v>2000</v>
      </c>
    </row>
    <row r="19" spans="1:7" x14ac:dyDescent="0.35">
      <c r="A19" s="8">
        <v>45514</v>
      </c>
      <c r="B19" s="9" t="s">
        <v>14</v>
      </c>
      <c r="C19" s="9" t="s">
        <v>23</v>
      </c>
      <c r="D19" s="9" t="s">
        <v>24</v>
      </c>
      <c r="E19" s="10">
        <v>850</v>
      </c>
      <c r="F19" s="9">
        <v>4</v>
      </c>
      <c r="G19" s="11">
        <v>3400</v>
      </c>
    </row>
    <row r="20" spans="1:7" x14ac:dyDescent="0.35">
      <c r="A20" s="8">
        <v>45514</v>
      </c>
      <c r="B20" s="9" t="s">
        <v>7</v>
      </c>
      <c r="C20" s="9" t="s">
        <v>17</v>
      </c>
      <c r="D20" s="9" t="s">
        <v>20</v>
      </c>
      <c r="E20" s="10">
        <v>450</v>
      </c>
      <c r="F20" s="9">
        <v>2</v>
      </c>
      <c r="G20" s="11">
        <v>900</v>
      </c>
    </row>
    <row r="21" spans="1:7" x14ac:dyDescent="0.35">
      <c r="A21" s="8">
        <v>45515</v>
      </c>
      <c r="B21" s="9" t="s">
        <v>11</v>
      </c>
      <c r="C21" s="9" t="s">
        <v>8</v>
      </c>
      <c r="D21" s="9" t="s">
        <v>25</v>
      </c>
      <c r="E21" s="10">
        <v>950</v>
      </c>
      <c r="F21" s="9">
        <v>3</v>
      </c>
      <c r="G21" s="11">
        <v>2850</v>
      </c>
    </row>
    <row r="22" spans="1:7" x14ac:dyDescent="0.35">
      <c r="A22" s="8">
        <v>45515</v>
      </c>
      <c r="B22" s="9" t="s">
        <v>14</v>
      </c>
      <c r="C22" s="9" t="s">
        <v>26</v>
      </c>
      <c r="D22" s="9" t="s">
        <v>27</v>
      </c>
      <c r="E22" s="10">
        <v>700</v>
      </c>
      <c r="F22" s="9">
        <v>2</v>
      </c>
      <c r="G22" s="11">
        <v>1400</v>
      </c>
    </row>
    <row r="23" spans="1:7" x14ac:dyDescent="0.35">
      <c r="A23" s="8">
        <v>45516</v>
      </c>
      <c r="B23" s="9" t="s">
        <v>7</v>
      </c>
      <c r="C23" s="9" t="s">
        <v>19</v>
      </c>
      <c r="D23" s="9" t="s">
        <v>22</v>
      </c>
      <c r="E23" s="10">
        <v>600</v>
      </c>
      <c r="F23" s="9">
        <v>1</v>
      </c>
      <c r="G23" s="11">
        <v>600</v>
      </c>
    </row>
    <row r="24" spans="1:7" x14ac:dyDescent="0.35">
      <c r="A24" s="8">
        <v>45516</v>
      </c>
      <c r="B24" s="9" t="s">
        <v>11</v>
      </c>
      <c r="C24" s="9" t="s">
        <v>21</v>
      </c>
      <c r="D24" s="9" t="s">
        <v>24</v>
      </c>
      <c r="E24" s="10">
        <v>1000</v>
      </c>
      <c r="F24" s="9">
        <v>1</v>
      </c>
      <c r="G24" s="11">
        <v>1000</v>
      </c>
    </row>
    <row r="25" spans="1:7" x14ac:dyDescent="0.35">
      <c r="A25" s="8">
        <v>45517</v>
      </c>
      <c r="B25" s="9" t="s">
        <v>14</v>
      </c>
      <c r="C25" s="9" t="s">
        <v>18</v>
      </c>
      <c r="D25" s="9" t="s">
        <v>25</v>
      </c>
      <c r="E25" s="10">
        <v>750</v>
      </c>
      <c r="F25" s="9">
        <v>3</v>
      </c>
      <c r="G25" s="11">
        <v>2250</v>
      </c>
    </row>
    <row r="26" spans="1:7" x14ac:dyDescent="0.35">
      <c r="A26" s="12">
        <v>45517</v>
      </c>
      <c r="B26" s="13" t="s">
        <v>7</v>
      </c>
      <c r="C26" s="13" t="s">
        <v>8</v>
      </c>
      <c r="D26" s="9" t="s">
        <v>27</v>
      </c>
      <c r="E26" s="14">
        <v>500</v>
      </c>
      <c r="F26" s="13">
        <v>2</v>
      </c>
      <c r="G26" s="15">
        <v>1000</v>
      </c>
    </row>
  </sheetData>
  <autoFilter ref="A1:G26" xr:uid="{A9A0A9F3-CCF1-4087-A76A-156ABE3054E0}"/>
  <hyperlinks>
    <hyperlink ref="C8" r:id="rId1" xr:uid="{1BCF650D-D7D2-489B-BB49-C4013536D62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31C-07BC-49C2-B657-C6663CF2A3F6}">
  <sheetPr codeName="Hoja2">
    <tabColor theme="5" tint="0.79998168889431442"/>
  </sheetPr>
  <dimension ref="A1:G26"/>
  <sheetViews>
    <sheetView showGridLines="0" workbookViewId="0">
      <selection sqref="A1:G26"/>
    </sheetView>
  </sheetViews>
  <sheetFormatPr baseColWidth="10" defaultRowHeight="14.5" x14ac:dyDescent="0.35"/>
  <cols>
    <col min="1" max="1" width="10.36328125" bestFit="1" customWidth="1"/>
    <col min="2" max="2" width="8.54296875" bestFit="1" customWidth="1"/>
    <col min="3" max="3" width="8.36328125" bestFit="1" customWidth="1"/>
    <col min="4" max="4" width="19.1796875" customWidth="1"/>
    <col min="5" max="5" width="13.36328125" bestFit="1" customWidth="1"/>
    <col min="6" max="6" width="15.90625" bestFit="1" customWidth="1"/>
    <col min="7" max="7" width="9.81640625" bestFit="1" customWidth="1"/>
  </cols>
  <sheetData>
    <row r="1" spans="1:7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5">
      <c r="A2" s="4">
        <v>45505</v>
      </c>
      <c r="B2" s="5" t="s">
        <v>7</v>
      </c>
      <c r="C2" s="5" t="s">
        <v>8</v>
      </c>
      <c r="D2" s="5" t="s">
        <v>28</v>
      </c>
      <c r="E2" s="6">
        <v>500</v>
      </c>
      <c r="F2" s="5">
        <v>2</v>
      </c>
      <c r="G2" s="7">
        <v>1000</v>
      </c>
    </row>
    <row r="3" spans="1:7" x14ac:dyDescent="0.35">
      <c r="A3" s="8">
        <v>45505</v>
      </c>
      <c r="B3" s="9" t="s">
        <v>7</v>
      </c>
      <c r="C3" s="9" t="s">
        <v>8</v>
      </c>
      <c r="D3" s="9" t="s">
        <v>10</v>
      </c>
      <c r="E3" s="10">
        <v>500</v>
      </c>
      <c r="F3" s="9">
        <v>1</v>
      </c>
      <c r="G3" s="11">
        <v>500</v>
      </c>
    </row>
    <row r="4" spans="1:7" x14ac:dyDescent="0.35">
      <c r="A4" s="8">
        <v>45506</v>
      </c>
      <c r="B4" s="9" t="s">
        <v>11</v>
      </c>
      <c r="C4" s="9" t="s">
        <v>12</v>
      </c>
      <c r="D4" s="9" t="s">
        <v>29</v>
      </c>
      <c r="E4" s="10">
        <v>1200</v>
      </c>
      <c r="F4" s="9">
        <v>3</v>
      </c>
      <c r="G4" s="11">
        <v>3600</v>
      </c>
    </row>
    <row r="5" spans="1:7" x14ac:dyDescent="0.35">
      <c r="A5" s="8">
        <v>45506</v>
      </c>
      <c r="B5" s="9" t="s">
        <v>11</v>
      </c>
      <c r="C5" s="9" t="s">
        <v>12</v>
      </c>
      <c r="D5" s="9" t="s">
        <v>10</v>
      </c>
      <c r="E5" s="10">
        <v>1.2</v>
      </c>
      <c r="F5" s="9">
        <v>1</v>
      </c>
      <c r="G5" s="11">
        <v>1.2</v>
      </c>
    </row>
    <row r="6" spans="1:7" x14ac:dyDescent="0.35">
      <c r="A6" s="8">
        <v>45507</v>
      </c>
      <c r="B6" s="9" t="s">
        <v>14</v>
      </c>
      <c r="C6" s="9" t="s">
        <v>31</v>
      </c>
      <c r="D6" s="9" t="s">
        <v>33</v>
      </c>
      <c r="E6" s="10">
        <v>800</v>
      </c>
      <c r="F6" s="9">
        <v>5</v>
      </c>
      <c r="G6" s="11">
        <v>4000</v>
      </c>
    </row>
    <row r="7" spans="1:7" x14ac:dyDescent="0.35">
      <c r="A7" s="8">
        <v>45507</v>
      </c>
      <c r="B7" s="9" t="s">
        <v>7</v>
      </c>
      <c r="C7" s="9" t="s">
        <v>32</v>
      </c>
      <c r="D7" s="5" t="s">
        <v>28</v>
      </c>
      <c r="E7" s="10">
        <v>450</v>
      </c>
      <c r="F7" s="9">
        <v>2</v>
      </c>
      <c r="G7" s="11">
        <v>900</v>
      </c>
    </row>
    <row r="8" spans="1:7" x14ac:dyDescent="0.35">
      <c r="A8" s="8">
        <v>45508</v>
      </c>
      <c r="B8" s="9" t="s">
        <v>14</v>
      </c>
      <c r="C8" s="9" t="s">
        <v>31</v>
      </c>
      <c r="D8" s="9" t="s">
        <v>33</v>
      </c>
      <c r="E8" s="10">
        <v>800</v>
      </c>
      <c r="F8" s="9">
        <v>2</v>
      </c>
      <c r="G8" s="11">
        <v>1600</v>
      </c>
    </row>
    <row r="9" spans="1:7" x14ac:dyDescent="0.35">
      <c r="A9" s="8">
        <v>45508</v>
      </c>
      <c r="B9" s="9" t="s">
        <v>11</v>
      </c>
      <c r="C9" s="9" t="s">
        <v>12</v>
      </c>
      <c r="D9" s="9" t="s">
        <v>29</v>
      </c>
      <c r="E9" s="10">
        <v>1200</v>
      </c>
      <c r="F9" s="9">
        <v>2</v>
      </c>
      <c r="G9" s="11">
        <v>2400</v>
      </c>
    </row>
    <row r="10" spans="1:7" x14ac:dyDescent="0.35">
      <c r="A10" s="8">
        <v>45509</v>
      </c>
      <c r="B10" s="9" t="s">
        <v>7</v>
      </c>
      <c r="C10" s="9" t="s">
        <v>32</v>
      </c>
      <c r="D10" s="9" t="s">
        <v>10</v>
      </c>
      <c r="E10" s="10">
        <v>450</v>
      </c>
      <c r="F10" s="9">
        <v>1</v>
      </c>
      <c r="G10" s="11">
        <v>450</v>
      </c>
    </row>
    <row r="11" spans="1:7" x14ac:dyDescent="0.35">
      <c r="A11" s="8">
        <v>45509</v>
      </c>
      <c r="B11" s="9" t="s">
        <v>11</v>
      </c>
      <c r="C11" s="9" t="s">
        <v>8</v>
      </c>
      <c r="D11" s="9" t="s">
        <v>29</v>
      </c>
      <c r="E11" s="10">
        <v>900</v>
      </c>
      <c r="F11" s="9">
        <v>4</v>
      </c>
      <c r="G11" s="11">
        <v>3600</v>
      </c>
    </row>
    <row r="12" spans="1:7" x14ac:dyDescent="0.35">
      <c r="A12" s="8">
        <v>45510</v>
      </c>
      <c r="B12" s="9" t="s">
        <v>14</v>
      </c>
      <c r="C12" s="9" t="s">
        <v>18</v>
      </c>
      <c r="D12" s="9" t="s">
        <v>33</v>
      </c>
      <c r="E12" s="10">
        <v>750</v>
      </c>
      <c r="F12" s="9">
        <v>3</v>
      </c>
      <c r="G12" s="11">
        <v>2250</v>
      </c>
    </row>
    <row r="13" spans="1:7" x14ac:dyDescent="0.35">
      <c r="A13" s="8">
        <v>45510</v>
      </c>
      <c r="B13" s="9" t="s">
        <v>7</v>
      </c>
      <c r="C13" s="9" t="s">
        <v>8</v>
      </c>
      <c r="D13" s="5" t="s">
        <v>28</v>
      </c>
      <c r="E13" s="10">
        <v>500</v>
      </c>
      <c r="F13" s="9">
        <v>3</v>
      </c>
      <c r="G13" s="11">
        <v>1500</v>
      </c>
    </row>
    <row r="14" spans="1:7" x14ac:dyDescent="0.35">
      <c r="A14" s="8">
        <v>45511</v>
      </c>
      <c r="B14" s="9" t="s">
        <v>11</v>
      </c>
      <c r="C14" s="9" t="s">
        <v>8</v>
      </c>
      <c r="D14" s="9" t="s">
        <v>10</v>
      </c>
      <c r="E14" s="10">
        <v>900</v>
      </c>
      <c r="F14" s="9">
        <v>2</v>
      </c>
      <c r="G14" s="11">
        <v>1800</v>
      </c>
    </row>
    <row r="15" spans="1:7" x14ac:dyDescent="0.35">
      <c r="A15" s="8">
        <v>45511</v>
      </c>
      <c r="B15" s="9" t="s">
        <v>14</v>
      </c>
      <c r="C15" s="9" t="s">
        <v>31</v>
      </c>
      <c r="D15" s="9" t="s">
        <v>33</v>
      </c>
      <c r="E15" s="10">
        <v>800</v>
      </c>
      <c r="F15" s="9">
        <v>1</v>
      </c>
      <c r="G15" s="11">
        <v>800</v>
      </c>
    </row>
    <row r="16" spans="1:7" x14ac:dyDescent="0.35">
      <c r="A16" s="8">
        <v>45512</v>
      </c>
      <c r="B16" s="9" t="s">
        <v>7</v>
      </c>
      <c r="C16" s="9" t="s">
        <v>32</v>
      </c>
      <c r="D16" s="5" t="s">
        <v>28</v>
      </c>
      <c r="E16" s="10">
        <v>450</v>
      </c>
      <c r="F16" s="9">
        <v>4</v>
      </c>
      <c r="G16" s="11">
        <v>1800</v>
      </c>
    </row>
    <row r="17" spans="1:7" x14ac:dyDescent="0.35">
      <c r="A17" s="8">
        <v>45513</v>
      </c>
      <c r="B17" s="9" t="s">
        <v>7</v>
      </c>
      <c r="C17" s="9" t="s">
        <v>19</v>
      </c>
      <c r="D17" s="9" t="s">
        <v>20</v>
      </c>
      <c r="E17" s="10">
        <v>600</v>
      </c>
      <c r="F17" s="9">
        <v>3</v>
      </c>
      <c r="G17" s="11">
        <v>1800</v>
      </c>
    </row>
    <row r="18" spans="1:7" x14ac:dyDescent="0.35">
      <c r="A18" s="8">
        <v>45513</v>
      </c>
      <c r="B18" s="9" t="s">
        <v>11</v>
      </c>
      <c r="C18" s="9" t="s">
        <v>21</v>
      </c>
      <c r="D18" s="9" t="s">
        <v>22</v>
      </c>
      <c r="E18" s="10">
        <v>1000</v>
      </c>
      <c r="F18" s="9">
        <v>2</v>
      </c>
      <c r="G18" s="11">
        <v>2000</v>
      </c>
    </row>
    <row r="19" spans="1:7" x14ac:dyDescent="0.35">
      <c r="A19" s="8">
        <v>45514</v>
      </c>
      <c r="B19" s="9" t="s">
        <v>14</v>
      </c>
      <c r="C19" s="9" t="s">
        <v>23</v>
      </c>
      <c r="D19" s="9" t="s">
        <v>34</v>
      </c>
      <c r="E19" s="10">
        <v>850</v>
      </c>
      <c r="F19" s="9">
        <v>4</v>
      </c>
      <c r="G19" s="11">
        <v>3400</v>
      </c>
    </row>
    <row r="20" spans="1:7" x14ac:dyDescent="0.35">
      <c r="A20" s="8">
        <v>45514</v>
      </c>
      <c r="B20" s="9" t="s">
        <v>7</v>
      </c>
      <c r="C20" s="9" t="s">
        <v>32</v>
      </c>
      <c r="D20" s="9" t="s">
        <v>20</v>
      </c>
      <c r="E20" s="10">
        <v>450</v>
      </c>
      <c r="F20" s="9">
        <v>2</v>
      </c>
      <c r="G20" s="11">
        <v>900</v>
      </c>
    </row>
    <row r="21" spans="1:7" x14ac:dyDescent="0.35">
      <c r="A21" s="8">
        <v>45515</v>
      </c>
      <c r="B21" s="9" t="s">
        <v>11</v>
      </c>
      <c r="C21" s="9" t="s">
        <v>8</v>
      </c>
      <c r="D21" s="9" t="s">
        <v>25</v>
      </c>
      <c r="E21" s="10">
        <v>950</v>
      </c>
      <c r="F21" s="9">
        <v>3</v>
      </c>
      <c r="G21" s="11">
        <v>2850</v>
      </c>
    </row>
    <row r="22" spans="1:7" x14ac:dyDescent="0.35">
      <c r="A22" s="8">
        <v>45515</v>
      </c>
      <c r="B22" s="9" t="s">
        <v>14</v>
      </c>
      <c r="C22" s="9" t="s">
        <v>26</v>
      </c>
      <c r="D22" s="9" t="s">
        <v>30</v>
      </c>
      <c r="E22" s="10">
        <v>700</v>
      </c>
      <c r="F22" s="9">
        <v>2</v>
      </c>
      <c r="G22" s="11">
        <v>1400</v>
      </c>
    </row>
    <row r="23" spans="1:7" x14ac:dyDescent="0.35">
      <c r="A23" s="8">
        <v>45516</v>
      </c>
      <c r="B23" s="9" t="s">
        <v>7</v>
      </c>
      <c r="C23" s="9" t="s">
        <v>19</v>
      </c>
      <c r="D23" s="9" t="s">
        <v>22</v>
      </c>
      <c r="E23" s="10">
        <v>600</v>
      </c>
      <c r="F23" s="9">
        <v>1</v>
      </c>
      <c r="G23" s="11">
        <v>600</v>
      </c>
    </row>
    <row r="24" spans="1:7" x14ac:dyDescent="0.35">
      <c r="A24" s="8">
        <v>45516</v>
      </c>
      <c r="B24" s="9" t="s">
        <v>11</v>
      </c>
      <c r="C24" s="9" t="s">
        <v>21</v>
      </c>
      <c r="D24" s="9" t="s">
        <v>34</v>
      </c>
      <c r="E24" s="10">
        <v>1000</v>
      </c>
      <c r="F24" s="9">
        <v>1</v>
      </c>
      <c r="G24" s="11">
        <v>1000</v>
      </c>
    </row>
    <row r="25" spans="1:7" x14ac:dyDescent="0.35">
      <c r="A25" s="8">
        <v>45517</v>
      </c>
      <c r="B25" s="9" t="s">
        <v>14</v>
      </c>
      <c r="C25" s="9" t="s">
        <v>18</v>
      </c>
      <c r="D25" s="9" t="s">
        <v>25</v>
      </c>
      <c r="E25" s="10">
        <v>750</v>
      </c>
      <c r="F25" s="9">
        <v>3</v>
      </c>
      <c r="G25" s="11">
        <v>2250</v>
      </c>
    </row>
    <row r="26" spans="1:7" x14ac:dyDescent="0.35">
      <c r="A26" s="12">
        <v>45517</v>
      </c>
      <c r="B26" s="13" t="s">
        <v>7</v>
      </c>
      <c r="C26" s="13" t="s">
        <v>8</v>
      </c>
      <c r="D26" s="9" t="s">
        <v>30</v>
      </c>
      <c r="E26" s="14">
        <v>500</v>
      </c>
      <c r="F26" s="13">
        <v>2</v>
      </c>
      <c r="G26" s="15">
        <v>1000</v>
      </c>
    </row>
  </sheetData>
  <autoFilter ref="A1:G26" xr:uid="{A9A0A9F3-CCF1-4087-A76A-156ABE3054E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06710-052E-4242-86B3-D7583E5A5BB1}">
  <sheetPr codeName="Hoja3">
    <tabColor theme="6" tint="0.79998168889431442"/>
  </sheetPr>
  <dimension ref="A1:G26"/>
  <sheetViews>
    <sheetView showGridLines="0" workbookViewId="0">
      <selection activeCell="J13" sqref="J13"/>
    </sheetView>
  </sheetViews>
  <sheetFormatPr baseColWidth="10" defaultRowHeight="14.5" x14ac:dyDescent="0.35"/>
  <cols>
    <col min="1" max="1" width="10.36328125" bestFit="1" customWidth="1"/>
    <col min="2" max="2" width="8.54296875" bestFit="1" customWidth="1"/>
    <col min="3" max="3" width="8.36328125" bestFit="1" customWidth="1"/>
    <col min="4" max="4" width="15" bestFit="1" customWidth="1"/>
    <col min="5" max="5" width="13.36328125" bestFit="1" customWidth="1"/>
    <col min="6" max="6" width="15.90625" bestFit="1" customWidth="1"/>
    <col min="7" max="7" width="9.81640625" bestFit="1" customWidth="1"/>
  </cols>
  <sheetData>
    <row r="1" spans="1:7" ht="15" thickBot="1" x14ac:dyDescent="0.4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5">
      <c r="A2" s="4">
        <v>45517</v>
      </c>
      <c r="B2" s="5" t="s">
        <v>14</v>
      </c>
      <c r="C2" s="5" t="s">
        <v>18</v>
      </c>
      <c r="D2" s="5" t="s">
        <v>25</v>
      </c>
      <c r="E2" s="6">
        <v>750</v>
      </c>
      <c r="F2" s="5">
        <v>3</v>
      </c>
      <c r="G2" s="7">
        <v>2250</v>
      </c>
    </row>
    <row r="3" spans="1:7" x14ac:dyDescent="0.35">
      <c r="A3" s="8">
        <v>45517</v>
      </c>
      <c r="B3" s="9" t="s">
        <v>7</v>
      </c>
      <c r="C3" s="9" t="s">
        <v>8</v>
      </c>
      <c r="D3" s="9" t="s">
        <v>27</v>
      </c>
      <c r="E3" s="10">
        <v>500</v>
      </c>
      <c r="F3" s="9">
        <v>2</v>
      </c>
      <c r="G3" s="11">
        <v>1000</v>
      </c>
    </row>
    <row r="4" spans="1:7" x14ac:dyDescent="0.35">
      <c r="A4" s="8">
        <v>45516</v>
      </c>
      <c r="B4" s="9" t="s">
        <v>7</v>
      </c>
      <c r="C4" s="9" t="s">
        <v>19</v>
      </c>
      <c r="D4" s="9" t="s">
        <v>22</v>
      </c>
      <c r="E4" s="10">
        <v>600</v>
      </c>
      <c r="F4" s="9">
        <v>1</v>
      </c>
      <c r="G4" s="11">
        <v>600</v>
      </c>
    </row>
    <row r="5" spans="1:7" x14ac:dyDescent="0.35">
      <c r="A5" s="8">
        <v>45516</v>
      </c>
      <c r="B5" s="9" t="s">
        <v>11</v>
      </c>
      <c r="C5" s="9" t="s">
        <v>21</v>
      </c>
      <c r="D5" s="9" t="s">
        <v>24</v>
      </c>
      <c r="E5" s="10">
        <v>1000</v>
      </c>
      <c r="F5" s="9">
        <v>1</v>
      </c>
      <c r="G5" s="11">
        <v>1000</v>
      </c>
    </row>
    <row r="6" spans="1:7" x14ac:dyDescent="0.35">
      <c r="A6" s="8">
        <v>45515</v>
      </c>
      <c r="B6" s="9" t="s">
        <v>11</v>
      </c>
      <c r="C6" s="9" t="s">
        <v>8</v>
      </c>
      <c r="D6" s="9" t="s">
        <v>25</v>
      </c>
      <c r="E6" s="10">
        <v>950</v>
      </c>
      <c r="F6" s="9">
        <v>3</v>
      </c>
      <c r="G6" s="11">
        <v>2850</v>
      </c>
    </row>
    <row r="7" spans="1:7" x14ac:dyDescent="0.35">
      <c r="A7" s="8">
        <v>45515</v>
      </c>
      <c r="B7" s="9" t="s">
        <v>14</v>
      </c>
      <c r="C7" s="9" t="s">
        <v>26</v>
      </c>
      <c r="D7" s="9" t="s">
        <v>27</v>
      </c>
      <c r="E7" s="10">
        <v>700</v>
      </c>
      <c r="F7" s="9">
        <v>2</v>
      </c>
      <c r="G7" s="11">
        <v>1400</v>
      </c>
    </row>
    <row r="8" spans="1:7" x14ac:dyDescent="0.35">
      <c r="A8" s="8">
        <v>45514</v>
      </c>
      <c r="B8" s="9" t="s">
        <v>14</v>
      </c>
      <c r="C8" s="9" t="s">
        <v>23</v>
      </c>
      <c r="D8" s="9" t="s">
        <v>24</v>
      </c>
      <c r="E8" s="10">
        <v>850</v>
      </c>
      <c r="F8" s="9">
        <v>4</v>
      </c>
      <c r="G8" s="11">
        <v>3400</v>
      </c>
    </row>
    <row r="9" spans="1:7" x14ac:dyDescent="0.35">
      <c r="A9" s="8">
        <v>45514</v>
      </c>
      <c r="B9" s="9" t="s">
        <v>7</v>
      </c>
      <c r="C9" s="9" t="s">
        <v>17</v>
      </c>
      <c r="D9" s="9" t="s">
        <v>20</v>
      </c>
      <c r="E9" s="10">
        <v>450</v>
      </c>
      <c r="F9" s="9">
        <v>2</v>
      </c>
      <c r="G9" s="11">
        <v>900</v>
      </c>
    </row>
    <row r="10" spans="1:7" x14ac:dyDescent="0.35">
      <c r="A10" s="8">
        <v>45513</v>
      </c>
      <c r="B10" s="9" t="s">
        <v>7</v>
      </c>
      <c r="C10" s="9" t="s">
        <v>19</v>
      </c>
      <c r="D10" s="9" t="s">
        <v>20</v>
      </c>
      <c r="E10" s="10">
        <v>600</v>
      </c>
      <c r="F10" s="9">
        <v>3</v>
      </c>
      <c r="G10" s="11">
        <v>1800</v>
      </c>
    </row>
    <row r="11" spans="1:7" x14ac:dyDescent="0.35">
      <c r="A11" s="8">
        <v>45513</v>
      </c>
      <c r="B11" s="9" t="s">
        <v>11</v>
      </c>
      <c r="C11" s="9" t="s">
        <v>21</v>
      </c>
      <c r="D11" s="9" t="s">
        <v>22</v>
      </c>
      <c r="E11" s="10">
        <v>1000</v>
      </c>
      <c r="F11" s="9">
        <v>2</v>
      </c>
      <c r="G11" s="11">
        <v>2000</v>
      </c>
    </row>
    <row r="12" spans="1:7" x14ac:dyDescent="0.35">
      <c r="A12" s="8">
        <v>45512</v>
      </c>
      <c r="B12" s="9" t="s">
        <v>7</v>
      </c>
      <c r="C12" s="9" t="s">
        <v>17</v>
      </c>
      <c r="D12" s="9" t="s">
        <v>9</v>
      </c>
      <c r="E12" s="10">
        <v>450</v>
      </c>
      <c r="F12" s="9">
        <v>4</v>
      </c>
      <c r="G12" s="11">
        <v>1800</v>
      </c>
    </row>
    <row r="13" spans="1:7" x14ac:dyDescent="0.35">
      <c r="A13" s="8">
        <v>45511</v>
      </c>
      <c r="B13" s="9" t="s">
        <v>11</v>
      </c>
      <c r="C13" s="9" t="s">
        <v>8</v>
      </c>
      <c r="D13" s="9" t="s">
        <v>10</v>
      </c>
      <c r="E13" s="10">
        <v>900</v>
      </c>
      <c r="F13" s="9">
        <v>2</v>
      </c>
      <c r="G13" s="11">
        <v>1800</v>
      </c>
    </row>
    <row r="14" spans="1:7" x14ac:dyDescent="0.35">
      <c r="A14" s="8">
        <v>45511</v>
      </c>
      <c r="B14" s="9" t="s">
        <v>14</v>
      </c>
      <c r="C14" s="9" t="s">
        <v>15</v>
      </c>
      <c r="D14" s="9" t="s">
        <v>16</v>
      </c>
      <c r="E14" s="10">
        <v>800</v>
      </c>
      <c r="F14" s="9">
        <v>1</v>
      </c>
      <c r="G14" s="11">
        <v>800</v>
      </c>
    </row>
    <row r="15" spans="1:7" x14ac:dyDescent="0.35">
      <c r="A15" s="8">
        <v>45510</v>
      </c>
      <c r="B15" s="9" t="s">
        <v>14</v>
      </c>
      <c r="C15" s="9" t="s">
        <v>18</v>
      </c>
      <c r="D15" s="9" t="s">
        <v>16</v>
      </c>
      <c r="E15" s="10">
        <v>750</v>
      </c>
      <c r="F15" s="9">
        <v>3</v>
      </c>
      <c r="G15" s="11">
        <v>2250</v>
      </c>
    </row>
    <row r="16" spans="1:7" x14ac:dyDescent="0.35">
      <c r="A16" s="8">
        <v>45510</v>
      </c>
      <c r="B16" s="9" t="s">
        <v>7</v>
      </c>
      <c r="C16" s="9" t="s">
        <v>8</v>
      </c>
      <c r="D16" s="9" t="s">
        <v>9</v>
      </c>
      <c r="E16" s="10">
        <v>500</v>
      </c>
      <c r="F16" s="9">
        <v>3</v>
      </c>
      <c r="G16" s="11">
        <v>1500</v>
      </c>
    </row>
    <row r="17" spans="1:7" x14ac:dyDescent="0.35">
      <c r="A17" s="8">
        <v>45509</v>
      </c>
      <c r="B17" s="9" t="s">
        <v>7</v>
      </c>
      <c r="C17" s="9" t="s">
        <v>17</v>
      </c>
      <c r="D17" s="9" t="s">
        <v>10</v>
      </c>
      <c r="E17" s="10">
        <v>450</v>
      </c>
      <c r="F17" s="9">
        <v>1</v>
      </c>
      <c r="G17" s="11">
        <v>450</v>
      </c>
    </row>
    <row r="18" spans="1:7" x14ac:dyDescent="0.35">
      <c r="A18" s="8">
        <v>45509</v>
      </c>
      <c r="B18" s="9" t="s">
        <v>11</v>
      </c>
      <c r="C18" s="9" t="s">
        <v>8</v>
      </c>
      <c r="D18" s="9" t="s">
        <v>13</v>
      </c>
      <c r="E18" s="10">
        <v>900</v>
      </c>
      <c r="F18" s="9">
        <v>4</v>
      </c>
      <c r="G18" s="11">
        <v>3600</v>
      </c>
    </row>
    <row r="19" spans="1:7" x14ac:dyDescent="0.35">
      <c r="A19" s="8">
        <v>45508</v>
      </c>
      <c r="B19" s="9" t="s">
        <v>14</v>
      </c>
      <c r="C19" s="9" t="s">
        <v>15</v>
      </c>
      <c r="D19" s="9" t="s">
        <v>16</v>
      </c>
      <c r="E19" s="10">
        <v>800</v>
      </c>
      <c r="F19" s="9">
        <v>2</v>
      </c>
      <c r="G19" s="11">
        <v>1600</v>
      </c>
    </row>
    <row r="20" spans="1:7" x14ac:dyDescent="0.35">
      <c r="A20" s="8">
        <v>45508</v>
      </c>
      <c r="B20" s="9" t="s">
        <v>11</v>
      </c>
      <c r="C20" s="9" t="s">
        <v>12</v>
      </c>
      <c r="D20" s="9" t="s">
        <v>13</v>
      </c>
      <c r="E20" s="10">
        <v>1200</v>
      </c>
      <c r="F20" s="9">
        <v>2</v>
      </c>
      <c r="G20" s="11">
        <v>2400</v>
      </c>
    </row>
    <row r="21" spans="1:7" x14ac:dyDescent="0.35">
      <c r="A21" s="8">
        <v>45507</v>
      </c>
      <c r="B21" s="9" t="s">
        <v>14</v>
      </c>
      <c r="C21" s="9" t="s">
        <v>15</v>
      </c>
      <c r="D21" s="9" t="s">
        <v>16</v>
      </c>
      <c r="E21" s="10">
        <v>800</v>
      </c>
      <c r="F21" s="9">
        <v>5</v>
      </c>
      <c r="G21" s="11">
        <v>4000</v>
      </c>
    </row>
    <row r="22" spans="1:7" x14ac:dyDescent="0.35">
      <c r="A22" s="8">
        <v>45507</v>
      </c>
      <c r="B22" s="9" t="s">
        <v>7</v>
      </c>
      <c r="C22" s="9" t="s">
        <v>17</v>
      </c>
      <c r="D22" s="9" t="s">
        <v>9</v>
      </c>
      <c r="E22" s="10">
        <v>450</v>
      </c>
      <c r="F22" s="9">
        <v>2</v>
      </c>
      <c r="G22" s="11">
        <v>900</v>
      </c>
    </row>
    <row r="23" spans="1:7" x14ac:dyDescent="0.35">
      <c r="A23" s="8">
        <v>45506</v>
      </c>
      <c r="B23" s="9" t="s">
        <v>11</v>
      </c>
      <c r="C23" s="9" t="s">
        <v>12</v>
      </c>
      <c r="D23" s="9" t="s">
        <v>13</v>
      </c>
      <c r="E23" s="10">
        <v>1200</v>
      </c>
      <c r="F23" s="9">
        <v>3</v>
      </c>
      <c r="G23" s="11">
        <v>3600</v>
      </c>
    </row>
    <row r="24" spans="1:7" x14ac:dyDescent="0.35">
      <c r="A24" s="8">
        <v>45506</v>
      </c>
      <c r="B24" s="9" t="s">
        <v>11</v>
      </c>
      <c r="C24" s="9" t="s">
        <v>12</v>
      </c>
      <c r="D24" s="9" t="s">
        <v>10</v>
      </c>
      <c r="E24" s="10">
        <v>1.2</v>
      </c>
      <c r="F24" s="9">
        <v>1</v>
      </c>
      <c r="G24" s="11">
        <v>1.2</v>
      </c>
    </row>
    <row r="25" spans="1:7" x14ac:dyDescent="0.35">
      <c r="A25" s="8">
        <v>45505</v>
      </c>
      <c r="B25" s="9" t="s">
        <v>7</v>
      </c>
      <c r="C25" s="9" t="s">
        <v>8</v>
      </c>
      <c r="D25" s="9" t="s">
        <v>9</v>
      </c>
      <c r="E25" s="10">
        <v>500</v>
      </c>
      <c r="F25" s="9">
        <v>2</v>
      </c>
      <c r="G25" s="11">
        <v>1000</v>
      </c>
    </row>
    <row r="26" spans="1:7" x14ac:dyDescent="0.35">
      <c r="A26" s="12">
        <v>45505</v>
      </c>
      <c r="B26" s="13" t="s">
        <v>7</v>
      </c>
      <c r="C26" s="13" t="s">
        <v>8</v>
      </c>
      <c r="D26" s="13" t="s">
        <v>10</v>
      </c>
      <c r="E26" s="14">
        <v>500</v>
      </c>
      <c r="F26" s="13">
        <v>1</v>
      </c>
      <c r="G26" s="15">
        <v>500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7FF6-CBBE-4A01-91DA-CBC6935AD7C7}">
  <sheetPr codeName="Hoja4"/>
  <dimension ref="A1:G5"/>
  <sheetViews>
    <sheetView workbookViewId="0">
      <selection activeCell="A3" sqref="A3:G5"/>
    </sheetView>
  </sheetViews>
  <sheetFormatPr baseColWidth="10" defaultRowHeight="14.5" x14ac:dyDescent="0.35"/>
  <cols>
    <col min="1" max="3" width="11" bestFit="1" customWidth="1"/>
    <col min="4" max="4" width="13.7265625" bestFit="1" customWidth="1"/>
    <col min="5" max="5" width="15.453125" bestFit="1" customWidth="1"/>
    <col min="6" max="6" width="18.1796875" bestFit="1" customWidth="1"/>
    <col min="7" max="7" width="11.81640625" bestFit="1" customWidth="1"/>
  </cols>
  <sheetData>
    <row r="1" spans="1:7" x14ac:dyDescent="0.35">
      <c r="A1" s="35" t="s">
        <v>182</v>
      </c>
    </row>
    <row r="3" spans="1:7" x14ac:dyDescent="0.3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</row>
    <row r="4" spans="1:7" x14ac:dyDescent="0.35">
      <c r="A4" s="34">
        <v>45516</v>
      </c>
      <c r="B4" t="s">
        <v>11</v>
      </c>
      <c r="C4" t="s">
        <v>21</v>
      </c>
      <c r="D4" t="s">
        <v>34</v>
      </c>
      <c r="E4">
        <v>1000</v>
      </c>
      <c r="F4">
        <v>1</v>
      </c>
      <c r="G4">
        <v>1000</v>
      </c>
    </row>
    <row r="5" spans="1:7" x14ac:dyDescent="0.35">
      <c r="A5" s="34">
        <v>45513</v>
      </c>
      <c r="B5" t="s">
        <v>11</v>
      </c>
      <c r="C5" t="s">
        <v>21</v>
      </c>
      <c r="D5" t="s">
        <v>22</v>
      </c>
      <c r="E5">
        <v>1000</v>
      </c>
      <c r="F5">
        <v>2</v>
      </c>
      <c r="G5">
        <v>2000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9835-7AE7-4CA0-BB31-43DC7F73931F}">
  <sheetPr codeName="Hoja5"/>
  <dimension ref="A1:G3"/>
  <sheetViews>
    <sheetView workbookViewId="0">
      <selection sqref="A1:G3"/>
    </sheetView>
  </sheetViews>
  <sheetFormatPr baseColWidth="10" defaultRowHeight="14.5" x14ac:dyDescent="0.35"/>
  <cols>
    <col min="1" max="3" width="11" bestFit="1" customWidth="1"/>
    <col min="4" max="4" width="13.81640625" bestFit="1" customWidth="1"/>
    <col min="5" max="5" width="15.453125" bestFit="1" customWidth="1"/>
    <col min="6" max="6" width="18.1796875" bestFit="1" customWidth="1"/>
    <col min="7" max="7" width="11.8164062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5">
      <c r="A2" s="34">
        <v>45517</v>
      </c>
      <c r="B2" t="s">
        <v>14</v>
      </c>
      <c r="C2" t="s">
        <v>18</v>
      </c>
      <c r="D2" t="s">
        <v>25</v>
      </c>
      <c r="E2">
        <v>750</v>
      </c>
      <c r="F2">
        <v>3</v>
      </c>
      <c r="G2">
        <v>2250</v>
      </c>
    </row>
    <row r="3" spans="1:7" x14ac:dyDescent="0.35">
      <c r="A3" s="34">
        <v>45510</v>
      </c>
      <c r="B3" t="s">
        <v>14</v>
      </c>
      <c r="C3" t="s">
        <v>18</v>
      </c>
      <c r="D3" t="s">
        <v>16</v>
      </c>
      <c r="E3">
        <v>750</v>
      </c>
      <c r="F3">
        <v>3</v>
      </c>
      <c r="G3">
        <v>2250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035DF-AE67-4E64-A6BB-B181AF8C1D9B}">
  <sheetPr codeName="Hoja6">
    <tabColor theme="8" tint="0.79998168889431442"/>
  </sheetPr>
  <dimension ref="A1:B12"/>
  <sheetViews>
    <sheetView showGridLines="0" workbookViewId="0">
      <selection activeCell="B5" sqref="B5"/>
    </sheetView>
  </sheetViews>
  <sheetFormatPr baseColWidth="10" defaultRowHeight="14.5" x14ac:dyDescent="0.35"/>
  <cols>
    <col min="1" max="1" width="16.54296875" bestFit="1" customWidth="1"/>
    <col min="2" max="2" width="17.26953125" bestFit="1" customWidth="1"/>
  </cols>
  <sheetData>
    <row r="1" spans="1:2" x14ac:dyDescent="0.35">
      <c r="A1" s="27" t="s">
        <v>40</v>
      </c>
      <c r="B1" t="s">
        <v>42</v>
      </c>
    </row>
    <row r="2" spans="1:2" x14ac:dyDescent="0.35">
      <c r="A2" s="28" t="s">
        <v>12</v>
      </c>
      <c r="B2" s="29">
        <v>6001.2</v>
      </c>
    </row>
    <row r="3" spans="1:2" x14ac:dyDescent="0.35">
      <c r="A3" s="28" t="s">
        <v>23</v>
      </c>
      <c r="B3" s="29">
        <v>3400</v>
      </c>
    </row>
    <row r="4" spans="1:2" x14ac:dyDescent="0.35">
      <c r="A4" s="28" t="s">
        <v>21</v>
      </c>
      <c r="B4" s="29">
        <v>3000</v>
      </c>
    </row>
    <row r="5" spans="1:2" x14ac:dyDescent="0.35">
      <c r="A5" s="28" t="s">
        <v>18</v>
      </c>
      <c r="B5" s="29">
        <v>4500</v>
      </c>
    </row>
    <row r="6" spans="1:2" x14ac:dyDescent="0.35">
      <c r="A6" s="28" t="s">
        <v>26</v>
      </c>
      <c r="B6" s="29">
        <v>1400</v>
      </c>
    </row>
    <row r="7" spans="1:2" x14ac:dyDescent="0.35">
      <c r="A7" s="28" t="s">
        <v>8</v>
      </c>
      <c r="B7" s="29">
        <v>12250</v>
      </c>
    </row>
    <row r="8" spans="1:2" x14ac:dyDescent="0.35">
      <c r="A8" s="28" t="s">
        <v>19</v>
      </c>
      <c r="B8" s="29">
        <v>2400</v>
      </c>
    </row>
    <row r="9" spans="1:2" x14ac:dyDescent="0.35">
      <c r="A9" s="28" t="s">
        <v>15</v>
      </c>
      <c r="B9" s="29">
        <v>4800</v>
      </c>
    </row>
    <row r="10" spans="1:2" x14ac:dyDescent="0.35">
      <c r="A10" s="28" t="s">
        <v>17</v>
      </c>
      <c r="B10" s="29">
        <v>4050</v>
      </c>
    </row>
    <row r="11" spans="1:2" x14ac:dyDescent="0.35">
      <c r="A11" s="28" t="s">
        <v>183</v>
      </c>
      <c r="B11" s="29">
        <v>1600</v>
      </c>
    </row>
    <row r="12" spans="1:2" x14ac:dyDescent="0.35">
      <c r="A12" s="28" t="s">
        <v>41</v>
      </c>
      <c r="B12" s="29">
        <v>43401.2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DF367-4FB8-47F4-AB0A-24201FB41913}">
  <sheetPr codeName="Hoja7">
    <tabColor rgb="FFFEF8D4"/>
  </sheetPr>
  <dimension ref="A1"/>
  <sheetViews>
    <sheetView showGridLines="0" workbookViewId="0">
      <selection activeCell="C7" sqref="C7"/>
    </sheetView>
  </sheetViews>
  <sheetFormatPr baseColWidth="10" defaultRowHeight="14.5" x14ac:dyDescent="0.35"/>
  <cols>
    <col min="1" max="1" width="2.90625" customWidth="1"/>
    <col min="2" max="2" width="11.54296875" customWidth="1"/>
  </cols>
  <sheetData>
    <row r="1" ht="25.75" customHeight="1" x14ac:dyDescent="0.35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324F5-A60E-4B4D-9603-99F95C1408F3}">
  <sheetPr codeName="Hoja8">
    <tabColor rgb="FFFEF8D4"/>
  </sheetPr>
  <dimension ref="B2:E14"/>
  <sheetViews>
    <sheetView showGridLines="0" workbookViewId="0">
      <selection activeCell="D6" sqref="D6"/>
    </sheetView>
  </sheetViews>
  <sheetFormatPr baseColWidth="10" defaultRowHeight="14.5" x14ac:dyDescent="0.35"/>
  <cols>
    <col min="2" max="2" width="4.54296875" customWidth="1"/>
    <col min="3" max="3" width="20.08984375" customWidth="1"/>
    <col min="4" max="4" width="22.54296875" customWidth="1"/>
    <col min="5" max="5" width="5" customWidth="1"/>
  </cols>
  <sheetData>
    <row r="2" spans="2:5" x14ac:dyDescent="0.35">
      <c r="B2" s="16"/>
      <c r="C2" s="17"/>
      <c r="D2" s="17"/>
      <c r="E2" s="18"/>
    </row>
    <row r="3" spans="2:5" ht="16" x14ac:dyDescent="0.4">
      <c r="B3" s="19"/>
      <c r="C3" s="33" t="s">
        <v>39</v>
      </c>
      <c r="D3" s="33"/>
      <c r="E3" s="20"/>
    </row>
    <row r="4" spans="2:5" x14ac:dyDescent="0.35">
      <c r="B4" s="19"/>
      <c r="C4" s="21"/>
      <c r="D4" s="21"/>
      <c r="E4" s="20"/>
    </row>
    <row r="5" spans="2:5" x14ac:dyDescent="0.35">
      <c r="B5" s="19"/>
      <c r="C5" s="21"/>
      <c r="D5" s="21"/>
      <c r="E5" s="20"/>
    </row>
    <row r="6" spans="2:5" x14ac:dyDescent="0.35">
      <c r="B6" s="19"/>
      <c r="C6" s="22" t="s">
        <v>35</v>
      </c>
      <c r="D6" s="26"/>
      <c r="E6" s="20"/>
    </row>
    <row r="7" spans="2:5" x14ac:dyDescent="0.35">
      <c r="B7" s="19"/>
      <c r="C7" s="22"/>
      <c r="D7" s="21"/>
      <c r="E7" s="20"/>
    </row>
    <row r="8" spans="2:5" x14ac:dyDescent="0.35">
      <c r="B8" s="19"/>
      <c r="C8" s="22" t="s">
        <v>36</v>
      </c>
      <c r="D8" s="26"/>
      <c r="E8" s="20"/>
    </row>
    <row r="9" spans="2:5" x14ac:dyDescent="0.35">
      <c r="B9" s="19"/>
      <c r="C9" s="22"/>
      <c r="D9" s="21"/>
      <c r="E9" s="20"/>
    </row>
    <row r="10" spans="2:5" x14ac:dyDescent="0.35">
      <c r="B10" s="19"/>
      <c r="C10" s="22" t="s">
        <v>37</v>
      </c>
      <c r="D10" s="26"/>
      <c r="E10" s="20"/>
    </row>
    <row r="11" spans="2:5" x14ac:dyDescent="0.35">
      <c r="B11" s="19"/>
      <c r="C11" s="22"/>
      <c r="D11" s="21"/>
      <c r="E11" s="20"/>
    </row>
    <row r="12" spans="2:5" x14ac:dyDescent="0.35">
      <c r="B12" s="19"/>
      <c r="C12" s="22" t="s">
        <v>38</v>
      </c>
      <c r="D12" s="26"/>
      <c r="E12" s="20"/>
    </row>
    <row r="13" spans="2:5" x14ac:dyDescent="0.35">
      <c r="B13" s="19"/>
      <c r="C13" s="22"/>
      <c r="D13" s="21"/>
      <c r="E13" s="20"/>
    </row>
    <row r="14" spans="2:5" x14ac:dyDescent="0.35">
      <c r="B14" s="23"/>
      <c r="C14" s="24"/>
      <c r="D14" s="24"/>
      <c r="E14" s="25"/>
    </row>
  </sheetData>
  <mergeCells count="1">
    <mergeCell ref="C3:D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2E81-57BF-4081-940D-D7D031634812}">
  <sheetPr codeName="Hoja9">
    <tabColor rgb="FFFEF8D4"/>
  </sheetPr>
  <dimension ref="B2:E14"/>
  <sheetViews>
    <sheetView showGridLines="0" workbookViewId="0">
      <selection activeCell="D6" sqref="D6"/>
    </sheetView>
  </sheetViews>
  <sheetFormatPr baseColWidth="10" defaultRowHeight="14.5" x14ac:dyDescent="0.35"/>
  <cols>
    <col min="2" max="2" width="4.54296875" customWidth="1"/>
    <col min="3" max="3" width="20.08984375" customWidth="1"/>
    <col min="4" max="4" width="22.54296875" customWidth="1"/>
    <col min="5" max="5" width="5" customWidth="1"/>
  </cols>
  <sheetData>
    <row r="2" spans="2:5" x14ac:dyDescent="0.35">
      <c r="B2" s="16"/>
      <c r="C2" s="17"/>
      <c r="D2" s="17"/>
      <c r="E2" s="18"/>
    </row>
    <row r="3" spans="2:5" ht="16" x14ac:dyDescent="0.4">
      <c r="B3" s="19"/>
      <c r="C3" s="33" t="s">
        <v>39</v>
      </c>
      <c r="D3" s="33"/>
      <c r="E3" s="20"/>
    </row>
    <row r="4" spans="2:5" x14ac:dyDescent="0.35">
      <c r="B4" s="19"/>
      <c r="C4" s="21"/>
      <c r="D4" s="21"/>
      <c r="E4" s="20"/>
    </row>
    <row r="5" spans="2:5" x14ac:dyDescent="0.35">
      <c r="B5" s="19"/>
      <c r="C5" s="21"/>
      <c r="D5" s="21"/>
      <c r="E5" s="20"/>
    </row>
    <row r="6" spans="2:5" x14ac:dyDescent="0.35">
      <c r="B6" s="19"/>
      <c r="C6" s="22" t="s">
        <v>35</v>
      </c>
      <c r="D6" s="26"/>
      <c r="E6" s="20"/>
    </row>
    <row r="7" spans="2:5" x14ac:dyDescent="0.35">
      <c r="B7" s="19"/>
      <c r="C7" s="22"/>
      <c r="D7" s="21"/>
      <c r="E7" s="20"/>
    </row>
    <row r="8" spans="2:5" x14ac:dyDescent="0.35">
      <c r="B8" s="19"/>
      <c r="C8" s="22" t="s">
        <v>36</v>
      </c>
      <c r="D8" s="26"/>
      <c r="E8" s="20"/>
    </row>
    <row r="9" spans="2:5" x14ac:dyDescent="0.35">
      <c r="B9" s="19"/>
      <c r="C9" s="22"/>
      <c r="D9" s="21"/>
      <c r="E9" s="20"/>
    </row>
    <row r="10" spans="2:5" x14ac:dyDescent="0.35">
      <c r="B10" s="19"/>
      <c r="C10" s="22" t="s">
        <v>37</v>
      </c>
      <c r="D10" s="26"/>
      <c r="E10" s="20"/>
    </row>
    <row r="11" spans="2:5" x14ac:dyDescent="0.35">
      <c r="B11" s="19"/>
      <c r="C11" s="22"/>
      <c r="D11" s="21"/>
      <c r="E11" s="20"/>
    </row>
    <row r="12" spans="2:5" x14ac:dyDescent="0.35">
      <c r="B12" s="19"/>
      <c r="C12" s="22" t="s">
        <v>38</v>
      </c>
      <c r="D12" s="26"/>
      <c r="E12" s="20"/>
    </row>
    <row r="13" spans="2:5" x14ac:dyDescent="0.35">
      <c r="B13" s="19"/>
      <c r="C13" s="22"/>
      <c r="D13" s="21"/>
      <c r="E13" s="20"/>
    </row>
    <row r="14" spans="2:5" x14ac:dyDescent="0.35">
      <c r="B14" s="23"/>
      <c r="C14" s="24"/>
      <c r="D14" s="24"/>
      <c r="E14" s="25"/>
    </row>
  </sheetData>
  <mergeCells count="1">
    <mergeCell ref="C3:D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FC270-F304-4B01-BF90-47CFEB100876}">
  <sheetPr codeName="Hoja10">
    <tabColor rgb="FFFEF8D4"/>
  </sheetPr>
  <dimension ref="B2:E14"/>
  <sheetViews>
    <sheetView showGridLines="0" workbookViewId="0">
      <selection activeCell="D14" sqref="D14"/>
    </sheetView>
  </sheetViews>
  <sheetFormatPr baseColWidth="10" defaultRowHeight="14.5" x14ac:dyDescent="0.35"/>
  <cols>
    <col min="2" max="2" width="4.54296875" customWidth="1"/>
    <col min="3" max="3" width="20.08984375" customWidth="1"/>
    <col min="4" max="4" width="22.54296875" customWidth="1"/>
    <col min="5" max="5" width="5" customWidth="1"/>
  </cols>
  <sheetData>
    <row r="2" spans="2:5" x14ac:dyDescent="0.35">
      <c r="B2" s="16"/>
      <c r="C2" s="17"/>
      <c r="D2" s="17"/>
      <c r="E2" s="18"/>
    </row>
    <row r="3" spans="2:5" ht="16" x14ac:dyDescent="0.4">
      <c r="B3" s="19"/>
      <c r="C3" s="33" t="s">
        <v>39</v>
      </c>
      <c r="D3" s="33"/>
      <c r="E3" s="20"/>
    </row>
    <row r="4" spans="2:5" x14ac:dyDescent="0.35">
      <c r="B4" s="19"/>
      <c r="C4" s="21"/>
      <c r="D4" s="21"/>
      <c r="E4" s="20"/>
    </row>
    <row r="5" spans="2:5" x14ac:dyDescent="0.35">
      <c r="B5" s="19"/>
      <c r="C5" s="21"/>
      <c r="D5" s="21"/>
      <c r="E5" s="20"/>
    </row>
    <row r="6" spans="2:5" x14ac:dyDescent="0.35">
      <c r="B6" s="19"/>
      <c r="C6" s="22" t="s">
        <v>35</v>
      </c>
      <c r="D6" s="26" t="s">
        <v>185</v>
      </c>
      <c r="E6" s="20"/>
    </row>
    <row r="7" spans="2:5" x14ac:dyDescent="0.35">
      <c r="B7" s="19"/>
      <c r="C7" s="22"/>
      <c r="D7" s="21"/>
      <c r="E7" s="20"/>
    </row>
    <row r="8" spans="2:5" x14ac:dyDescent="0.35">
      <c r="B8" s="19"/>
      <c r="C8" s="22" t="s">
        <v>36</v>
      </c>
      <c r="D8" s="37" t="s">
        <v>186</v>
      </c>
      <c r="E8" s="20"/>
    </row>
    <row r="9" spans="2:5" x14ac:dyDescent="0.35">
      <c r="B9" s="19"/>
      <c r="C9" s="22"/>
      <c r="D9" s="21"/>
      <c r="E9" s="20"/>
    </row>
    <row r="10" spans="2:5" x14ac:dyDescent="0.35">
      <c r="B10" s="19"/>
      <c r="C10" s="22" t="s">
        <v>37</v>
      </c>
      <c r="D10" s="26">
        <v>5555555555</v>
      </c>
      <c r="E10" s="20"/>
    </row>
    <row r="11" spans="2:5" x14ac:dyDescent="0.35">
      <c r="B11" s="19"/>
      <c r="C11" s="22"/>
      <c r="D11" s="21"/>
      <c r="E11" s="20"/>
    </row>
    <row r="12" spans="2:5" x14ac:dyDescent="0.35">
      <c r="B12" s="19"/>
      <c r="C12" s="22" t="s">
        <v>38</v>
      </c>
      <c r="D12" s="26" t="s">
        <v>187</v>
      </c>
      <c r="E12" s="20"/>
    </row>
    <row r="13" spans="2:5" x14ac:dyDescent="0.35">
      <c r="B13" s="19"/>
      <c r="C13" s="22"/>
      <c r="D13" s="21"/>
      <c r="E13" s="20"/>
    </row>
    <row r="14" spans="2:5" x14ac:dyDescent="0.35">
      <c r="B14" s="23"/>
      <c r="C14" s="24"/>
      <c r="D14" s="24"/>
      <c r="E14" s="25"/>
    </row>
  </sheetData>
  <mergeCells count="1">
    <mergeCell ref="C3:D3"/>
  </mergeCells>
  <hyperlinks>
    <hyperlink ref="D8" r:id="rId1" xr:uid="{40F0D057-20EA-4A34-B98A-1A3A37E44E4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40237-08C2-4788-AB47-44626C5DF511}">
  <sheetPr codeName="Hoja11">
    <tabColor rgb="FFFEF8D4"/>
  </sheetPr>
  <dimension ref="B2:E14"/>
  <sheetViews>
    <sheetView showGridLines="0" workbookViewId="0">
      <selection activeCell="D12" sqref="D12"/>
    </sheetView>
  </sheetViews>
  <sheetFormatPr baseColWidth="10" defaultRowHeight="14.5" x14ac:dyDescent="0.35"/>
  <cols>
    <col min="2" max="2" width="4.54296875" customWidth="1"/>
    <col min="3" max="3" width="20.08984375" customWidth="1"/>
    <col min="4" max="4" width="22.54296875" customWidth="1"/>
    <col min="5" max="5" width="5" customWidth="1"/>
  </cols>
  <sheetData>
    <row r="2" spans="2:5" x14ac:dyDescent="0.35">
      <c r="B2" s="16"/>
      <c r="C2" s="17"/>
      <c r="D2" s="17"/>
      <c r="E2" s="18"/>
    </row>
    <row r="3" spans="2:5" ht="16" x14ac:dyDescent="0.4">
      <c r="B3" s="19"/>
      <c r="C3" s="33" t="s">
        <v>39</v>
      </c>
      <c r="D3" s="33"/>
      <c r="E3" s="20"/>
    </row>
    <row r="4" spans="2:5" x14ac:dyDescent="0.35">
      <c r="B4" s="19"/>
      <c r="C4" s="21"/>
      <c r="D4" s="21"/>
      <c r="E4" s="20"/>
    </row>
    <row r="5" spans="2:5" x14ac:dyDescent="0.35">
      <c r="B5" s="19"/>
      <c r="C5" s="21"/>
      <c r="D5" s="21"/>
      <c r="E5" s="20"/>
    </row>
    <row r="6" spans="2:5" x14ac:dyDescent="0.35">
      <c r="B6" s="19"/>
      <c r="C6" s="22" t="s">
        <v>35</v>
      </c>
      <c r="D6" s="26">
        <v>1</v>
      </c>
      <c r="E6" s="20"/>
    </row>
    <row r="7" spans="2:5" x14ac:dyDescent="0.35">
      <c r="B7" s="19"/>
      <c r="C7" s="22"/>
      <c r="D7" s="21"/>
      <c r="E7" s="20"/>
    </row>
    <row r="8" spans="2:5" x14ac:dyDescent="0.35">
      <c r="B8" s="19"/>
      <c r="C8" s="22" t="s">
        <v>36</v>
      </c>
      <c r="D8" s="37" t="s">
        <v>184</v>
      </c>
      <c r="E8" s="20"/>
    </row>
    <row r="9" spans="2:5" x14ac:dyDescent="0.35">
      <c r="B9" s="19"/>
      <c r="C9" s="22"/>
      <c r="D9" s="21"/>
      <c r="E9" s="20"/>
    </row>
    <row r="10" spans="2:5" x14ac:dyDescent="0.35">
      <c r="B10" s="19"/>
      <c r="C10" s="22" t="s">
        <v>37</v>
      </c>
      <c r="D10" s="26">
        <v>5555555</v>
      </c>
      <c r="E10" s="20"/>
    </row>
    <row r="11" spans="2:5" x14ac:dyDescent="0.35">
      <c r="B11" s="19"/>
      <c r="C11" s="22"/>
      <c r="D11" s="21"/>
      <c r="E11" s="20"/>
    </row>
    <row r="12" spans="2:5" x14ac:dyDescent="0.35">
      <c r="B12" s="19"/>
      <c r="C12" s="22" t="s">
        <v>38</v>
      </c>
      <c r="D12" s="38">
        <v>36872</v>
      </c>
      <c r="E12" s="20"/>
    </row>
    <row r="13" spans="2:5" x14ac:dyDescent="0.35">
      <c r="B13" s="19"/>
      <c r="C13" s="22"/>
      <c r="D13" s="21"/>
      <c r="E13" s="20"/>
    </row>
    <row r="14" spans="2:5" x14ac:dyDescent="0.35">
      <c r="B14" s="23"/>
      <c r="C14" s="24"/>
      <c r="D14" s="24"/>
      <c r="E14" s="25"/>
    </row>
  </sheetData>
  <mergeCells count="1">
    <mergeCell ref="C3:D3"/>
  </mergeCells>
  <hyperlinks>
    <hyperlink ref="D8" r:id="rId1" xr:uid="{A179A8A6-C92F-4889-BF4E-4C6C2080F4C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B51B5-49BE-45CE-B725-FBA56359B372}">
  <sheetPr codeName="Hoja12">
    <tabColor theme="7" tint="0.79998168889431442"/>
  </sheetPr>
  <dimension ref="A1:R121"/>
  <sheetViews>
    <sheetView showGridLines="0" tabSelected="1" workbookViewId="0">
      <selection activeCell="K13" sqref="K13"/>
    </sheetView>
  </sheetViews>
  <sheetFormatPr baseColWidth="10" defaultRowHeight="14.5" x14ac:dyDescent="0.35"/>
  <cols>
    <col min="1" max="1" width="10.36328125" bestFit="1" customWidth="1"/>
    <col min="2" max="2" width="6.36328125" bestFit="1" customWidth="1"/>
    <col min="3" max="3" width="6.54296875" bestFit="1" customWidth="1"/>
    <col min="4" max="4" width="17.54296875" bestFit="1" customWidth="1"/>
    <col min="5" max="5" width="8.6328125" bestFit="1" customWidth="1"/>
    <col min="6" max="6" width="10.54296875" bestFit="1" customWidth="1"/>
    <col min="7" max="7" width="9.1796875" bestFit="1" customWidth="1"/>
    <col min="8" max="8" width="19.6328125" bestFit="1" customWidth="1"/>
    <col min="16" max="16" width="0" hidden="1" customWidth="1"/>
    <col min="17" max="17" width="17.90625" bestFit="1" customWidth="1"/>
  </cols>
  <sheetData>
    <row r="1" spans="1:18" x14ac:dyDescent="0.35">
      <c r="A1" s="32" t="s">
        <v>0</v>
      </c>
      <c r="B1" s="32" t="s">
        <v>43</v>
      </c>
      <c r="C1" s="32" t="s">
        <v>44</v>
      </c>
      <c r="D1" s="32" t="s">
        <v>45</v>
      </c>
      <c r="E1" s="32" t="s">
        <v>46</v>
      </c>
      <c r="F1" s="32" t="s">
        <v>1</v>
      </c>
      <c r="G1" s="32" t="s">
        <v>47</v>
      </c>
      <c r="H1" s="32" t="s">
        <v>48</v>
      </c>
    </row>
    <row r="2" spans="1:18" x14ac:dyDescent="0.35">
      <c r="A2" s="30">
        <v>43466</v>
      </c>
      <c r="B2" s="28">
        <v>2019</v>
      </c>
      <c r="C2" s="28" t="s">
        <v>49</v>
      </c>
      <c r="D2" t="s">
        <v>50</v>
      </c>
      <c r="E2" t="s">
        <v>51</v>
      </c>
      <c r="F2" t="s">
        <v>52</v>
      </c>
      <c r="G2" s="31">
        <v>350</v>
      </c>
      <c r="H2" t="s">
        <v>53</v>
      </c>
      <c r="P2" t="str">
        <f>"Valor total de "&amp;SUBTOTAL(9,G:G)&amp;"€"</f>
        <v>Valor total de 49550€</v>
      </c>
    </row>
    <row r="3" spans="1:18" x14ac:dyDescent="0.35">
      <c r="A3" s="30">
        <v>43466</v>
      </c>
      <c r="B3" s="28">
        <v>2019</v>
      </c>
      <c r="C3" s="28" t="s">
        <v>49</v>
      </c>
      <c r="D3" t="s">
        <v>54</v>
      </c>
      <c r="E3" t="s">
        <v>55</v>
      </c>
      <c r="F3" t="s">
        <v>56</v>
      </c>
      <c r="G3" s="31">
        <v>200</v>
      </c>
      <c r="H3" t="s">
        <v>57</v>
      </c>
    </row>
    <row r="4" spans="1:18" x14ac:dyDescent="0.35">
      <c r="A4" s="30">
        <v>43466</v>
      </c>
      <c r="B4" s="28">
        <v>2019</v>
      </c>
      <c r="C4" s="28" t="s">
        <v>49</v>
      </c>
      <c r="D4" t="s">
        <v>58</v>
      </c>
      <c r="E4" t="s">
        <v>59</v>
      </c>
      <c r="F4" t="s">
        <v>56</v>
      </c>
      <c r="G4" s="31">
        <v>200</v>
      </c>
      <c r="H4" t="s">
        <v>53</v>
      </c>
      <c r="Q4" t="str">
        <f>"Valor total de " &amp;R4 &amp;"€"</f>
        <v>Valor total de 49550€</v>
      </c>
      <c r="R4">
        <f>SUBTOTAL(9,G2:G121)</f>
        <v>49550</v>
      </c>
    </row>
    <row r="5" spans="1:18" x14ac:dyDescent="0.35">
      <c r="A5" s="30">
        <v>43466</v>
      </c>
      <c r="B5" s="28">
        <v>2019</v>
      </c>
      <c r="C5" s="28" t="s">
        <v>49</v>
      </c>
      <c r="D5" t="s">
        <v>60</v>
      </c>
      <c r="E5" t="s">
        <v>61</v>
      </c>
      <c r="F5" t="s">
        <v>56</v>
      </c>
      <c r="G5" s="31">
        <v>200</v>
      </c>
      <c r="H5" t="s">
        <v>62</v>
      </c>
      <c r="Q5" s="39"/>
    </row>
    <row r="6" spans="1:18" x14ac:dyDescent="0.35">
      <c r="A6" s="30">
        <v>43466</v>
      </c>
      <c r="B6" s="28">
        <v>2019</v>
      </c>
      <c r="C6" s="28" t="s">
        <v>49</v>
      </c>
      <c r="D6" t="s">
        <v>63</v>
      </c>
      <c r="E6" t="s">
        <v>64</v>
      </c>
      <c r="F6" t="s">
        <v>65</v>
      </c>
      <c r="G6" s="31">
        <v>600</v>
      </c>
      <c r="H6" t="s">
        <v>53</v>
      </c>
    </row>
    <row r="7" spans="1:18" x14ac:dyDescent="0.35">
      <c r="A7" s="30">
        <v>43466</v>
      </c>
      <c r="B7" s="28">
        <v>2019</v>
      </c>
      <c r="C7" s="28" t="s">
        <v>49</v>
      </c>
      <c r="D7" t="s">
        <v>66</v>
      </c>
      <c r="E7" t="s">
        <v>55</v>
      </c>
      <c r="F7" t="s">
        <v>67</v>
      </c>
      <c r="G7" s="31">
        <v>500</v>
      </c>
      <c r="H7" t="s">
        <v>57</v>
      </c>
    </row>
    <row r="8" spans="1:18" x14ac:dyDescent="0.35">
      <c r="A8" s="30">
        <v>43466</v>
      </c>
      <c r="B8" s="28">
        <v>2019</v>
      </c>
      <c r="C8" s="28" t="s">
        <v>49</v>
      </c>
      <c r="D8" t="s">
        <v>68</v>
      </c>
      <c r="E8" t="s">
        <v>61</v>
      </c>
      <c r="F8" t="s">
        <v>67</v>
      </c>
      <c r="G8" s="31">
        <v>500</v>
      </c>
      <c r="H8" t="s">
        <v>53</v>
      </c>
    </row>
    <row r="9" spans="1:18" x14ac:dyDescent="0.35">
      <c r="A9" s="30">
        <v>43466</v>
      </c>
      <c r="B9" s="28">
        <v>2019</v>
      </c>
      <c r="C9" s="28" t="s">
        <v>49</v>
      </c>
      <c r="D9" t="s">
        <v>69</v>
      </c>
      <c r="E9" t="s">
        <v>59</v>
      </c>
      <c r="F9" t="s">
        <v>56</v>
      </c>
      <c r="G9" s="31">
        <v>200</v>
      </c>
      <c r="H9" t="s">
        <v>53</v>
      </c>
    </row>
    <row r="10" spans="1:18" x14ac:dyDescent="0.35">
      <c r="A10" s="30">
        <v>43466</v>
      </c>
      <c r="B10" s="28">
        <v>2019</v>
      </c>
      <c r="C10" s="28" t="s">
        <v>49</v>
      </c>
      <c r="D10" t="s">
        <v>70</v>
      </c>
      <c r="E10" t="s">
        <v>55</v>
      </c>
      <c r="F10" t="s">
        <v>67</v>
      </c>
      <c r="G10" s="31">
        <v>500</v>
      </c>
      <c r="H10" t="s">
        <v>53</v>
      </c>
    </row>
    <row r="11" spans="1:18" x14ac:dyDescent="0.35">
      <c r="A11" s="30">
        <v>43466</v>
      </c>
      <c r="B11" s="28">
        <v>2019</v>
      </c>
      <c r="C11" s="28" t="s">
        <v>49</v>
      </c>
      <c r="D11" t="s">
        <v>71</v>
      </c>
      <c r="E11" t="s">
        <v>64</v>
      </c>
      <c r="F11" t="s">
        <v>52</v>
      </c>
      <c r="G11" s="31">
        <v>350</v>
      </c>
      <c r="H11" t="s">
        <v>62</v>
      </c>
    </row>
    <row r="12" spans="1:18" x14ac:dyDescent="0.35">
      <c r="A12" s="30">
        <v>43466</v>
      </c>
      <c r="B12" s="28">
        <v>2019</v>
      </c>
      <c r="C12" s="28" t="s">
        <v>49</v>
      </c>
      <c r="D12" t="s">
        <v>72</v>
      </c>
      <c r="E12" t="s">
        <v>61</v>
      </c>
      <c r="F12" t="s">
        <v>52</v>
      </c>
      <c r="G12" s="31">
        <v>350</v>
      </c>
      <c r="H12" t="s">
        <v>57</v>
      </c>
    </row>
    <row r="13" spans="1:18" x14ac:dyDescent="0.35">
      <c r="A13" s="30">
        <v>43466</v>
      </c>
      <c r="B13" s="28">
        <v>2019</v>
      </c>
      <c r="C13" s="28" t="s">
        <v>49</v>
      </c>
      <c r="D13" t="s">
        <v>73</v>
      </c>
      <c r="E13" t="s">
        <v>55</v>
      </c>
      <c r="F13" t="s">
        <v>67</v>
      </c>
      <c r="G13" s="31">
        <v>500</v>
      </c>
      <c r="H13" t="s">
        <v>57</v>
      </c>
    </row>
    <row r="14" spans="1:18" x14ac:dyDescent="0.35">
      <c r="A14" s="30">
        <v>43467</v>
      </c>
      <c r="B14" s="28">
        <v>2019</v>
      </c>
      <c r="C14" s="28" t="s">
        <v>49</v>
      </c>
      <c r="D14" t="s">
        <v>74</v>
      </c>
      <c r="E14" t="s">
        <v>59</v>
      </c>
      <c r="F14" t="s">
        <v>65</v>
      </c>
      <c r="G14" s="31">
        <v>600</v>
      </c>
      <c r="H14" t="s">
        <v>62</v>
      </c>
    </row>
    <row r="15" spans="1:18" x14ac:dyDescent="0.35">
      <c r="A15" s="30">
        <v>43467</v>
      </c>
      <c r="B15" s="28">
        <v>2019</v>
      </c>
      <c r="C15" s="28" t="s">
        <v>49</v>
      </c>
      <c r="D15" t="s">
        <v>75</v>
      </c>
      <c r="E15" t="s">
        <v>55</v>
      </c>
      <c r="F15" t="s">
        <v>56</v>
      </c>
      <c r="G15" s="31">
        <v>200</v>
      </c>
      <c r="H15" t="s">
        <v>62</v>
      </c>
    </row>
    <row r="16" spans="1:18" x14ac:dyDescent="0.35">
      <c r="A16" s="30">
        <v>43467</v>
      </c>
      <c r="B16" s="28">
        <v>2019</v>
      </c>
      <c r="C16" s="28" t="s">
        <v>49</v>
      </c>
      <c r="D16" t="s">
        <v>76</v>
      </c>
      <c r="E16" t="s">
        <v>61</v>
      </c>
      <c r="F16" t="s">
        <v>52</v>
      </c>
      <c r="G16" s="31">
        <v>350</v>
      </c>
      <c r="H16" t="s">
        <v>57</v>
      </c>
    </row>
    <row r="17" spans="1:8" x14ac:dyDescent="0.35">
      <c r="A17" s="30">
        <v>43467</v>
      </c>
      <c r="B17" s="28">
        <v>2019</v>
      </c>
      <c r="C17" s="28" t="s">
        <v>49</v>
      </c>
      <c r="D17" t="s">
        <v>77</v>
      </c>
      <c r="E17" t="s">
        <v>64</v>
      </c>
      <c r="F17" t="s">
        <v>52</v>
      </c>
      <c r="G17" s="31">
        <v>350</v>
      </c>
      <c r="H17" t="s">
        <v>62</v>
      </c>
    </row>
    <row r="18" spans="1:8" x14ac:dyDescent="0.35">
      <c r="A18" s="30">
        <v>43467</v>
      </c>
      <c r="B18" s="28">
        <v>2019</v>
      </c>
      <c r="C18" s="28" t="s">
        <v>49</v>
      </c>
      <c r="D18" t="s">
        <v>78</v>
      </c>
      <c r="E18" t="s">
        <v>59</v>
      </c>
      <c r="F18" t="s">
        <v>65</v>
      </c>
      <c r="G18" s="31">
        <v>600</v>
      </c>
      <c r="H18" t="s">
        <v>57</v>
      </c>
    </row>
    <row r="19" spans="1:8" x14ac:dyDescent="0.35">
      <c r="A19" s="30">
        <v>43467</v>
      </c>
      <c r="B19" s="28">
        <v>2019</v>
      </c>
      <c r="C19" s="28" t="s">
        <v>49</v>
      </c>
      <c r="D19" t="s">
        <v>79</v>
      </c>
      <c r="E19" t="s">
        <v>51</v>
      </c>
      <c r="F19" t="s">
        <v>52</v>
      </c>
      <c r="G19" s="31">
        <v>350</v>
      </c>
      <c r="H19" t="s">
        <v>53</v>
      </c>
    </row>
    <row r="20" spans="1:8" x14ac:dyDescent="0.35">
      <c r="A20" s="30">
        <v>43467</v>
      </c>
      <c r="B20" s="28">
        <v>2019</v>
      </c>
      <c r="C20" s="28" t="s">
        <v>49</v>
      </c>
      <c r="D20" t="s">
        <v>80</v>
      </c>
      <c r="E20" t="s">
        <v>64</v>
      </c>
      <c r="F20" t="s">
        <v>52</v>
      </c>
      <c r="G20" s="31">
        <v>350</v>
      </c>
      <c r="H20" t="s">
        <v>53</v>
      </c>
    </row>
    <row r="21" spans="1:8" x14ac:dyDescent="0.35">
      <c r="A21" s="30">
        <v>43467</v>
      </c>
      <c r="B21" s="28">
        <v>2019</v>
      </c>
      <c r="C21" s="28" t="s">
        <v>49</v>
      </c>
      <c r="D21" t="s">
        <v>81</v>
      </c>
      <c r="E21" t="s">
        <v>64</v>
      </c>
      <c r="F21" t="s">
        <v>52</v>
      </c>
      <c r="G21" s="31">
        <v>350</v>
      </c>
      <c r="H21" t="s">
        <v>57</v>
      </c>
    </row>
    <row r="22" spans="1:8" x14ac:dyDescent="0.35">
      <c r="A22" s="30">
        <v>43467</v>
      </c>
      <c r="B22" s="28">
        <v>2019</v>
      </c>
      <c r="C22" s="28" t="s">
        <v>49</v>
      </c>
      <c r="D22" t="s">
        <v>82</v>
      </c>
      <c r="E22" t="s">
        <v>55</v>
      </c>
      <c r="F22" t="s">
        <v>65</v>
      </c>
      <c r="G22" s="31">
        <v>600</v>
      </c>
      <c r="H22" t="s">
        <v>53</v>
      </c>
    </row>
    <row r="23" spans="1:8" x14ac:dyDescent="0.35">
      <c r="A23" s="30">
        <v>43467</v>
      </c>
      <c r="B23" s="28">
        <v>2019</v>
      </c>
      <c r="C23" s="28" t="s">
        <v>49</v>
      </c>
      <c r="D23" t="s">
        <v>83</v>
      </c>
      <c r="E23" t="s">
        <v>59</v>
      </c>
      <c r="F23" t="s">
        <v>67</v>
      </c>
      <c r="G23" s="31">
        <v>500</v>
      </c>
      <c r="H23" t="s">
        <v>53</v>
      </c>
    </row>
    <row r="24" spans="1:8" x14ac:dyDescent="0.35">
      <c r="A24" s="30">
        <v>43467</v>
      </c>
      <c r="B24" s="28">
        <v>2019</v>
      </c>
      <c r="C24" s="28" t="s">
        <v>49</v>
      </c>
      <c r="D24" t="s">
        <v>84</v>
      </c>
      <c r="E24" t="s">
        <v>51</v>
      </c>
      <c r="F24" t="s">
        <v>67</v>
      </c>
      <c r="G24" s="31">
        <v>500</v>
      </c>
      <c r="H24" t="s">
        <v>57</v>
      </c>
    </row>
    <row r="25" spans="1:8" x14ac:dyDescent="0.35">
      <c r="A25" s="30">
        <v>43467</v>
      </c>
      <c r="B25" s="28">
        <v>2019</v>
      </c>
      <c r="C25" s="28" t="s">
        <v>49</v>
      </c>
      <c r="D25" t="s">
        <v>85</v>
      </c>
      <c r="E25" t="s">
        <v>55</v>
      </c>
      <c r="F25" t="s">
        <v>65</v>
      </c>
      <c r="G25" s="31">
        <v>600</v>
      </c>
      <c r="H25" t="s">
        <v>62</v>
      </c>
    </row>
    <row r="26" spans="1:8" x14ac:dyDescent="0.35">
      <c r="A26" s="30">
        <v>43467</v>
      </c>
      <c r="B26" s="28">
        <v>2019</v>
      </c>
      <c r="C26" s="28" t="s">
        <v>49</v>
      </c>
      <c r="D26" t="s">
        <v>86</v>
      </c>
      <c r="E26" t="s">
        <v>59</v>
      </c>
      <c r="F26" t="s">
        <v>67</v>
      </c>
      <c r="G26" s="31">
        <v>500</v>
      </c>
      <c r="H26" t="s">
        <v>57</v>
      </c>
    </row>
    <row r="27" spans="1:8" x14ac:dyDescent="0.35">
      <c r="A27" s="30">
        <v>43467</v>
      </c>
      <c r="B27" s="28">
        <v>2019</v>
      </c>
      <c r="C27" s="28" t="s">
        <v>49</v>
      </c>
      <c r="D27" t="s">
        <v>87</v>
      </c>
      <c r="E27" t="s">
        <v>61</v>
      </c>
      <c r="F27" t="s">
        <v>67</v>
      </c>
      <c r="G27" s="31">
        <v>500</v>
      </c>
      <c r="H27" t="s">
        <v>57</v>
      </c>
    </row>
    <row r="28" spans="1:8" x14ac:dyDescent="0.35">
      <c r="A28" s="30">
        <v>43467</v>
      </c>
      <c r="B28" s="28">
        <v>2019</v>
      </c>
      <c r="C28" s="28" t="s">
        <v>49</v>
      </c>
      <c r="D28" t="s">
        <v>88</v>
      </c>
      <c r="E28" t="s">
        <v>64</v>
      </c>
      <c r="F28" t="s">
        <v>52</v>
      </c>
      <c r="G28" s="31">
        <v>350</v>
      </c>
      <c r="H28" t="s">
        <v>53</v>
      </c>
    </row>
    <row r="29" spans="1:8" x14ac:dyDescent="0.35">
      <c r="A29" s="30">
        <v>43468</v>
      </c>
      <c r="B29" s="28">
        <v>2019</v>
      </c>
      <c r="C29" s="28" t="s">
        <v>49</v>
      </c>
      <c r="D29" t="s">
        <v>89</v>
      </c>
      <c r="E29" t="s">
        <v>55</v>
      </c>
      <c r="F29" t="s">
        <v>52</v>
      </c>
      <c r="G29" s="31">
        <v>350</v>
      </c>
      <c r="H29" t="s">
        <v>53</v>
      </c>
    </row>
    <row r="30" spans="1:8" x14ac:dyDescent="0.35">
      <c r="A30" s="30">
        <v>43468</v>
      </c>
      <c r="B30" s="28">
        <v>2019</v>
      </c>
      <c r="C30" s="28" t="s">
        <v>49</v>
      </c>
      <c r="D30" t="s">
        <v>90</v>
      </c>
      <c r="E30" t="s">
        <v>61</v>
      </c>
      <c r="F30" t="s">
        <v>67</v>
      </c>
      <c r="G30" s="31">
        <v>500</v>
      </c>
      <c r="H30" t="s">
        <v>53</v>
      </c>
    </row>
    <row r="31" spans="1:8" x14ac:dyDescent="0.35">
      <c r="A31" s="30">
        <v>43468</v>
      </c>
      <c r="B31" s="28">
        <v>2019</v>
      </c>
      <c r="C31" s="28" t="s">
        <v>49</v>
      </c>
      <c r="D31" t="s">
        <v>91</v>
      </c>
      <c r="E31" t="s">
        <v>59</v>
      </c>
      <c r="F31" t="s">
        <v>67</v>
      </c>
      <c r="G31" s="31">
        <v>500</v>
      </c>
      <c r="H31" t="s">
        <v>57</v>
      </c>
    </row>
    <row r="32" spans="1:8" x14ac:dyDescent="0.35">
      <c r="A32" s="30">
        <v>43468</v>
      </c>
      <c r="B32" s="28">
        <v>2019</v>
      </c>
      <c r="C32" s="28" t="s">
        <v>49</v>
      </c>
      <c r="D32" t="s">
        <v>92</v>
      </c>
      <c r="E32" t="s">
        <v>55</v>
      </c>
      <c r="F32" t="s">
        <v>67</v>
      </c>
      <c r="G32" s="31">
        <v>500</v>
      </c>
      <c r="H32" t="s">
        <v>62</v>
      </c>
    </row>
    <row r="33" spans="1:8" x14ac:dyDescent="0.35">
      <c r="A33" s="30">
        <v>43468</v>
      </c>
      <c r="B33" s="28">
        <v>2019</v>
      </c>
      <c r="C33" s="28" t="s">
        <v>49</v>
      </c>
      <c r="D33" t="s">
        <v>93</v>
      </c>
      <c r="E33" t="s">
        <v>64</v>
      </c>
      <c r="F33" t="s">
        <v>65</v>
      </c>
      <c r="G33" s="31">
        <v>600</v>
      </c>
      <c r="H33" t="s">
        <v>62</v>
      </c>
    </row>
    <row r="34" spans="1:8" x14ac:dyDescent="0.35">
      <c r="A34" s="30">
        <v>43468</v>
      </c>
      <c r="B34" s="28">
        <v>2019</v>
      </c>
      <c r="C34" s="28" t="s">
        <v>49</v>
      </c>
      <c r="D34" t="s">
        <v>94</v>
      </c>
      <c r="E34" t="s">
        <v>61</v>
      </c>
      <c r="F34" t="s">
        <v>52</v>
      </c>
      <c r="G34" s="31">
        <v>350</v>
      </c>
      <c r="H34" t="s">
        <v>57</v>
      </c>
    </row>
    <row r="35" spans="1:8" x14ac:dyDescent="0.35">
      <c r="A35" s="30">
        <v>43468</v>
      </c>
      <c r="B35" s="28">
        <v>2019</v>
      </c>
      <c r="C35" s="28" t="s">
        <v>49</v>
      </c>
      <c r="D35" t="s">
        <v>95</v>
      </c>
      <c r="E35" t="s">
        <v>55</v>
      </c>
      <c r="F35" t="s">
        <v>56</v>
      </c>
      <c r="G35" s="31">
        <v>200</v>
      </c>
      <c r="H35" t="s">
        <v>53</v>
      </c>
    </row>
    <row r="36" spans="1:8" x14ac:dyDescent="0.35">
      <c r="A36" s="30">
        <v>43468</v>
      </c>
      <c r="B36" s="28">
        <v>2019</v>
      </c>
      <c r="C36" s="28" t="s">
        <v>49</v>
      </c>
      <c r="D36" t="s">
        <v>96</v>
      </c>
      <c r="E36" t="s">
        <v>59</v>
      </c>
      <c r="F36" t="s">
        <v>65</v>
      </c>
      <c r="G36" s="31">
        <v>600</v>
      </c>
      <c r="H36" t="s">
        <v>57</v>
      </c>
    </row>
    <row r="37" spans="1:8" x14ac:dyDescent="0.35">
      <c r="A37" s="30">
        <v>43468</v>
      </c>
      <c r="B37" s="28">
        <v>2019</v>
      </c>
      <c r="C37" s="28" t="s">
        <v>49</v>
      </c>
      <c r="D37" t="s">
        <v>97</v>
      </c>
      <c r="E37" t="s">
        <v>55</v>
      </c>
      <c r="F37" t="s">
        <v>52</v>
      </c>
      <c r="G37" s="31">
        <v>350</v>
      </c>
      <c r="H37" t="s">
        <v>62</v>
      </c>
    </row>
    <row r="38" spans="1:8" x14ac:dyDescent="0.35">
      <c r="A38" s="30">
        <v>43469</v>
      </c>
      <c r="B38" s="28">
        <v>2019</v>
      </c>
      <c r="C38" s="28" t="s">
        <v>49</v>
      </c>
      <c r="D38" t="s">
        <v>98</v>
      </c>
      <c r="E38" t="s">
        <v>61</v>
      </c>
      <c r="F38" t="s">
        <v>52</v>
      </c>
      <c r="G38" s="31">
        <v>350</v>
      </c>
      <c r="H38" t="s">
        <v>53</v>
      </c>
    </row>
    <row r="39" spans="1:8" x14ac:dyDescent="0.35">
      <c r="A39" s="30">
        <v>43469</v>
      </c>
      <c r="B39" s="28">
        <v>2019</v>
      </c>
      <c r="C39" s="28" t="s">
        <v>49</v>
      </c>
      <c r="D39" t="s">
        <v>99</v>
      </c>
      <c r="E39" t="s">
        <v>64</v>
      </c>
      <c r="F39" t="s">
        <v>65</v>
      </c>
      <c r="G39" s="31">
        <v>600</v>
      </c>
      <c r="H39" t="s">
        <v>57</v>
      </c>
    </row>
    <row r="40" spans="1:8" x14ac:dyDescent="0.35">
      <c r="A40" s="30">
        <v>43469</v>
      </c>
      <c r="B40" s="28">
        <v>2019</v>
      </c>
      <c r="C40" s="28" t="s">
        <v>49</v>
      </c>
      <c r="D40" t="s">
        <v>100</v>
      </c>
      <c r="E40" t="s">
        <v>59</v>
      </c>
      <c r="F40" t="s">
        <v>56</v>
      </c>
      <c r="G40" s="31">
        <v>200</v>
      </c>
      <c r="H40" t="s">
        <v>62</v>
      </c>
    </row>
    <row r="41" spans="1:8" x14ac:dyDescent="0.35">
      <c r="A41" s="30">
        <v>43469</v>
      </c>
      <c r="B41" s="28">
        <v>2019</v>
      </c>
      <c r="C41" s="28" t="s">
        <v>49</v>
      </c>
      <c r="D41" t="s">
        <v>101</v>
      </c>
      <c r="E41" t="s">
        <v>51</v>
      </c>
      <c r="F41" t="s">
        <v>65</v>
      </c>
      <c r="G41" s="31">
        <v>600</v>
      </c>
      <c r="H41" t="s">
        <v>53</v>
      </c>
    </row>
    <row r="42" spans="1:8" x14ac:dyDescent="0.35">
      <c r="A42" s="30">
        <v>43469</v>
      </c>
      <c r="B42" s="28">
        <v>2019</v>
      </c>
      <c r="C42" s="28" t="s">
        <v>49</v>
      </c>
      <c r="D42" t="s">
        <v>102</v>
      </c>
      <c r="E42" t="s">
        <v>64</v>
      </c>
      <c r="F42" t="s">
        <v>52</v>
      </c>
      <c r="G42" s="31">
        <v>350</v>
      </c>
      <c r="H42" t="s">
        <v>57</v>
      </c>
    </row>
    <row r="43" spans="1:8" x14ac:dyDescent="0.35">
      <c r="A43" s="30">
        <v>43469</v>
      </c>
      <c r="B43" s="28">
        <v>2019</v>
      </c>
      <c r="C43" s="28" t="s">
        <v>49</v>
      </c>
      <c r="D43" t="s">
        <v>103</v>
      </c>
      <c r="E43" t="s">
        <v>64</v>
      </c>
      <c r="F43" t="s">
        <v>52</v>
      </c>
      <c r="G43" s="31">
        <v>350</v>
      </c>
      <c r="H43" t="s">
        <v>53</v>
      </c>
    </row>
    <row r="44" spans="1:8" x14ac:dyDescent="0.35">
      <c r="A44" s="30">
        <v>43469</v>
      </c>
      <c r="B44" s="28">
        <v>2019</v>
      </c>
      <c r="C44" s="28" t="s">
        <v>49</v>
      </c>
      <c r="D44" t="s">
        <v>104</v>
      </c>
      <c r="E44" t="s">
        <v>55</v>
      </c>
      <c r="F44" t="s">
        <v>65</v>
      </c>
      <c r="G44" s="31">
        <v>600</v>
      </c>
      <c r="H44" t="s">
        <v>53</v>
      </c>
    </row>
    <row r="45" spans="1:8" x14ac:dyDescent="0.35">
      <c r="A45" s="30">
        <v>43469</v>
      </c>
      <c r="B45" s="28">
        <v>2019</v>
      </c>
      <c r="C45" s="28" t="s">
        <v>49</v>
      </c>
      <c r="D45" t="s">
        <v>105</v>
      </c>
      <c r="E45" t="s">
        <v>59</v>
      </c>
      <c r="F45" t="s">
        <v>52</v>
      </c>
      <c r="G45" s="31">
        <v>350</v>
      </c>
      <c r="H45" t="s">
        <v>53</v>
      </c>
    </row>
    <row r="46" spans="1:8" x14ac:dyDescent="0.35">
      <c r="A46" s="30">
        <v>43469</v>
      </c>
      <c r="B46" s="28">
        <v>2019</v>
      </c>
      <c r="C46" s="28" t="s">
        <v>49</v>
      </c>
      <c r="D46" t="s">
        <v>106</v>
      </c>
      <c r="E46" t="s">
        <v>61</v>
      </c>
      <c r="F46" t="s">
        <v>65</v>
      </c>
      <c r="G46" s="31">
        <v>600</v>
      </c>
      <c r="H46" t="s">
        <v>53</v>
      </c>
    </row>
    <row r="47" spans="1:8" x14ac:dyDescent="0.35">
      <c r="A47" s="30">
        <v>43469</v>
      </c>
      <c r="B47" s="28">
        <v>2019</v>
      </c>
      <c r="C47" s="28" t="s">
        <v>49</v>
      </c>
      <c r="D47" t="s">
        <v>107</v>
      </c>
      <c r="E47" t="s">
        <v>51</v>
      </c>
      <c r="F47" t="s">
        <v>56</v>
      </c>
      <c r="G47" s="31">
        <v>200</v>
      </c>
      <c r="H47" t="s">
        <v>53</v>
      </c>
    </row>
    <row r="48" spans="1:8" x14ac:dyDescent="0.35">
      <c r="A48" s="30">
        <v>43470</v>
      </c>
      <c r="B48" s="28">
        <v>2019</v>
      </c>
      <c r="C48" s="28" t="s">
        <v>49</v>
      </c>
      <c r="D48" t="s">
        <v>108</v>
      </c>
      <c r="E48" t="s">
        <v>55</v>
      </c>
      <c r="F48" t="s">
        <v>56</v>
      </c>
      <c r="G48" s="31">
        <v>200</v>
      </c>
      <c r="H48" t="s">
        <v>53</v>
      </c>
    </row>
    <row r="49" spans="1:8" x14ac:dyDescent="0.35">
      <c r="A49" s="30">
        <v>43470</v>
      </c>
      <c r="B49" s="28">
        <v>2019</v>
      </c>
      <c r="C49" s="28" t="s">
        <v>49</v>
      </c>
      <c r="D49" t="s">
        <v>109</v>
      </c>
      <c r="E49" t="s">
        <v>59</v>
      </c>
      <c r="F49" t="s">
        <v>67</v>
      </c>
      <c r="G49" s="31">
        <v>500</v>
      </c>
      <c r="H49" t="s">
        <v>53</v>
      </c>
    </row>
    <row r="50" spans="1:8" x14ac:dyDescent="0.35">
      <c r="A50" s="30">
        <v>43470</v>
      </c>
      <c r="B50" s="28">
        <v>2019</v>
      </c>
      <c r="C50" s="28" t="s">
        <v>49</v>
      </c>
      <c r="D50" t="s">
        <v>110</v>
      </c>
      <c r="E50" t="s">
        <v>61</v>
      </c>
      <c r="F50" t="s">
        <v>67</v>
      </c>
      <c r="G50" s="31">
        <v>500</v>
      </c>
      <c r="H50" t="s">
        <v>57</v>
      </c>
    </row>
    <row r="51" spans="1:8" x14ac:dyDescent="0.35">
      <c r="A51" s="30">
        <v>43470</v>
      </c>
      <c r="B51" s="28">
        <v>2019</v>
      </c>
      <c r="C51" s="28" t="s">
        <v>49</v>
      </c>
      <c r="D51" t="s">
        <v>111</v>
      </c>
      <c r="E51" t="s">
        <v>64</v>
      </c>
      <c r="F51" t="s">
        <v>52</v>
      </c>
      <c r="G51" s="31">
        <v>350</v>
      </c>
      <c r="H51" t="s">
        <v>57</v>
      </c>
    </row>
    <row r="52" spans="1:8" x14ac:dyDescent="0.35">
      <c r="A52" s="30">
        <v>43470</v>
      </c>
      <c r="B52" s="28">
        <v>2019</v>
      </c>
      <c r="C52" s="28" t="s">
        <v>49</v>
      </c>
      <c r="D52" t="s">
        <v>112</v>
      </c>
      <c r="E52" t="s">
        <v>55</v>
      </c>
      <c r="F52" t="s">
        <v>65</v>
      </c>
      <c r="G52" s="31">
        <v>600</v>
      </c>
      <c r="H52" t="s">
        <v>57</v>
      </c>
    </row>
    <row r="53" spans="1:8" x14ac:dyDescent="0.35">
      <c r="A53" s="30">
        <v>43470</v>
      </c>
      <c r="B53" s="28">
        <v>2019</v>
      </c>
      <c r="C53" s="28" t="s">
        <v>49</v>
      </c>
      <c r="D53" t="s">
        <v>113</v>
      </c>
      <c r="E53" t="s">
        <v>61</v>
      </c>
      <c r="F53" t="s">
        <v>56</v>
      </c>
      <c r="G53" s="31">
        <v>200</v>
      </c>
      <c r="H53" t="s">
        <v>57</v>
      </c>
    </row>
    <row r="54" spans="1:8" x14ac:dyDescent="0.35">
      <c r="A54" s="30">
        <v>43470</v>
      </c>
      <c r="B54" s="28">
        <v>2019</v>
      </c>
      <c r="C54" s="28" t="s">
        <v>49</v>
      </c>
      <c r="D54" t="s">
        <v>114</v>
      </c>
      <c r="E54" t="s">
        <v>59</v>
      </c>
      <c r="F54" t="s">
        <v>65</v>
      </c>
      <c r="G54" s="31">
        <v>600</v>
      </c>
      <c r="H54" t="s">
        <v>62</v>
      </c>
    </row>
    <row r="55" spans="1:8" x14ac:dyDescent="0.35">
      <c r="A55" s="30">
        <v>43470</v>
      </c>
      <c r="B55" s="28">
        <v>2019</v>
      </c>
      <c r="C55" s="28" t="s">
        <v>49</v>
      </c>
      <c r="D55" t="s">
        <v>115</v>
      </c>
      <c r="E55" t="s">
        <v>55</v>
      </c>
      <c r="F55" t="s">
        <v>56</v>
      </c>
      <c r="G55" s="31">
        <v>200</v>
      </c>
      <c r="H55" t="s">
        <v>62</v>
      </c>
    </row>
    <row r="56" spans="1:8" x14ac:dyDescent="0.35">
      <c r="A56" s="30">
        <v>43470</v>
      </c>
      <c r="B56" s="28">
        <v>2019</v>
      </c>
      <c r="C56" s="28" t="s">
        <v>49</v>
      </c>
      <c r="D56" t="s">
        <v>116</v>
      </c>
      <c r="E56" t="s">
        <v>64</v>
      </c>
      <c r="F56" t="s">
        <v>56</v>
      </c>
      <c r="G56" s="31">
        <v>200</v>
      </c>
      <c r="H56" t="s">
        <v>62</v>
      </c>
    </row>
    <row r="57" spans="1:8" x14ac:dyDescent="0.35">
      <c r="A57" s="30">
        <v>43470</v>
      </c>
      <c r="B57" s="28">
        <v>2019</v>
      </c>
      <c r="C57" s="28" t="s">
        <v>49</v>
      </c>
      <c r="D57" t="s">
        <v>117</v>
      </c>
      <c r="E57" t="s">
        <v>61</v>
      </c>
      <c r="F57" t="s">
        <v>65</v>
      </c>
      <c r="G57" s="31">
        <v>600</v>
      </c>
      <c r="H57" t="s">
        <v>62</v>
      </c>
    </row>
    <row r="58" spans="1:8" x14ac:dyDescent="0.35">
      <c r="A58" s="30">
        <v>43470</v>
      </c>
      <c r="B58" s="28">
        <v>2019</v>
      </c>
      <c r="C58" s="28" t="s">
        <v>49</v>
      </c>
      <c r="D58" t="s">
        <v>118</v>
      </c>
      <c r="E58" t="s">
        <v>55</v>
      </c>
      <c r="F58" t="s">
        <v>52</v>
      </c>
      <c r="G58" s="31">
        <v>350</v>
      </c>
      <c r="H58" t="s">
        <v>62</v>
      </c>
    </row>
    <row r="59" spans="1:8" x14ac:dyDescent="0.35">
      <c r="A59" s="30">
        <v>43470</v>
      </c>
      <c r="B59" s="28">
        <v>2019</v>
      </c>
      <c r="C59" s="28" t="s">
        <v>49</v>
      </c>
      <c r="D59" t="s">
        <v>119</v>
      </c>
      <c r="E59" t="s">
        <v>59</v>
      </c>
      <c r="F59" t="s">
        <v>65</v>
      </c>
      <c r="G59" s="31">
        <v>600</v>
      </c>
      <c r="H59" t="s">
        <v>53</v>
      </c>
    </row>
    <row r="60" spans="1:8" x14ac:dyDescent="0.35">
      <c r="A60" s="30">
        <v>43470</v>
      </c>
      <c r="B60" s="28">
        <v>2019</v>
      </c>
      <c r="C60" s="28" t="s">
        <v>49</v>
      </c>
      <c r="D60" t="s">
        <v>120</v>
      </c>
      <c r="E60" t="s">
        <v>55</v>
      </c>
      <c r="F60" t="s">
        <v>52</v>
      </c>
      <c r="G60" s="31">
        <v>350</v>
      </c>
      <c r="H60" t="s">
        <v>53</v>
      </c>
    </row>
    <row r="61" spans="1:8" x14ac:dyDescent="0.35">
      <c r="A61" s="30">
        <v>43470</v>
      </c>
      <c r="B61" s="28">
        <v>2019</v>
      </c>
      <c r="C61" s="28" t="s">
        <v>49</v>
      </c>
      <c r="D61" t="s">
        <v>121</v>
      </c>
      <c r="E61" t="s">
        <v>61</v>
      </c>
      <c r="F61" t="s">
        <v>52</v>
      </c>
      <c r="G61" s="31">
        <v>350</v>
      </c>
      <c r="H61" t="s">
        <v>62</v>
      </c>
    </row>
    <row r="62" spans="1:8" x14ac:dyDescent="0.35">
      <c r="A62" s="30">
        <v>43470</v>
      </c>
      <c r="B62" s="28">
        <v>2019</v>
      </c>
      <c r="C62" s="28" t="s">
        <v>49</v>
      </c>
      <c r="D62" t="s">
        <v>122</v>
      </c>
      <c r="E62" t="s">
        <v>64</v>
      </c>
      <c r="F62" t="s">
        <v>52</v>
      </c>
      <c r="G62" s="31">
        <v>350</v>
      </c>
      <c r="H62" t="s">
        <v>53</v>
      </c>
    </row>
    <row r="63" spans="1:8" x14ac:dyDescent="0.35">
      <c r="A63" s="30">
        <v>43470</v>
      </c>
      <c r="B63" s="28">
        <v>2019</v>
      </c>
      <c r="C63" s="28" t="s">
        <v>49</v>
      </c>
      <c r="D63" t="s">
        <v>123</v>
      </c>
      <c r="E63" t="s">
        <v>59</v>
      </c>
      <c r="F63" t="s">
        <v>65</v>
      </c>
      <c r="G63" s="31">
        <v>600</v>
      </c>
      <c r="H63" t="s">
        <v>57</v>
      </c>
    </row>
    <row r="64" spans="1:8" x14ac:dyDescent="0.35">
      <c r="A64" s="30">
        <v>43470</v>
      </c>
      <c r="B64" s="28">
        <v>2019</v>
      </c>
      <c r="C64" s="28" t="s">
        <v>49</v>
      </c>
      <c r="D64" t="s">
        <v>124</v>
      </c>
      <c r="E64" t="s">
        <v>51</v>
      </c>
      <c r="F64" t="s">
        <v>67</v>
      </c>
      <c r="G64" s="31">
        <v>500</v>
      </c>
      <c r="H64" t="s">
        <v>62</v>
      </c>
    </row>
    <row r="65" spans="1:8" x14ac:dyDescent="0.35">
      <c r="A65" s="30">
        <v>43470</v>
      </c>
      <c r="B65" s="28">
        <v>2019</v>
      </c>
      <c r="C65" s="28" t="s">
        <v>49</v>
      </c>
      <c r="D65" t="s">
        <v>125</v>
      </c>
      <c r="E65" t="s">
        <v>64</v>
      </c>
      <c r="F65" t="s">
        <v>52</v>
      </c>
      <c r="G65" s="31">
        <v>350</v>
      </c>
      <c r="H65" t="s">
        <v>57</v>
      </c>
    </row>
    <row r="66" spans="1:8" x14ac:dyDescent="0.35">
      <c r="A66" s="30">
        <v>43470</v>
      </c>
      <c r="B66" s="28">
        <v>2019</v>
      </c>
      <c r="C66" s="28" t="s">
        <v>49</v>
      </c>
      <c r="D66" t="s">
        <v>126</v>
      </c>
      <c r="E66" t="s">
        <v>64</v>
      </c>
      <c r="F66" t="s">
        <v>52</v>
      </c>
      <c r="G66" s="31">
        <v>350</v>
      </c>
      <c r="H66" t="s">
        <v>57</v>
      </c>
    </row>
    <row r="67" spans="1:8" x14ac:dyDescent="0.35">
      <c r="A67" s="30">
        <v>43471</v>
      </c>
      <c r="B67" s="28">
        <v>2019</v>
      </c>
      <c r="C67" s="28" t="s">
        <v>49</v>
      </c>
      <c r="D67" t="s">
        <v>127</v>
      </c>
      <c r="E67" t="s">
        <v>55</v>
      </c>
      <c r="F67" t="s">
        <v>56</v>
      </c>
      <c r="G67" s="31">
        <v>200</v>
      </c>
      <c r="H67" t="s">
        <v>62</v>
      </c>
    </row>
    <row r="68" spans="1:8" x14ac:dyDescent="0.35">
      <c r="A68" s="30">
        <v>43471</v>
      </c>
      <c r="B68" s="28">
        <v>2019</v>
      </c>
      <c r="C68" s="28" t="s">
        <v>49</v>
      </c>
      <c r="D68" t="s">
        <v>128</v>
      </c>
      <c r="E68" t="s">
        <v>59</v>
      </c>
      <c r="F68" t="s">
        <v>56</v>
      </c>
      <c r="G68" s="31">
        <v>200</v>
      </c>
      <c r="H68" t="s">
        <v>62</v>
      </c>
    </row>
    <row r="69" spans="1:8" x14ac:dyDescent="0.35">
      <c r="A69" s="30">
        <v>43471</v>
      </c>
      <c r="B69" s="28">
        <v>2019</v>
      </c>
      <c r="C69" s="28" t="s">
        <v>49</v>
      </c>
      <c r="D69" t="s">
        <v>129</v>
      </c>
      <c r="E69" t="s">
        <v>51</v>
      </c>
      <c r="F69" t="s">
        <v>56</v>
      </c>
      <c r="G69" s="31">
        <v>200</v>
      </c>
      <c r="H69" t="s">
        <v>53</v>
      </c>
    </row>
    <row r="70" spans="1:8" x14ac:dyDescent="0.35">
      <c r="A70" s="30">
        <v>43471</v>
      </c>
      <c r="B70" s="28">
        <v>2019</v>
      </c>
      <c r="C70" s="28" t="s">
        <v>49</v>
      </c>
      <c r="D70" t="s">
        <v>130</v>
      </c>
      <c r="E70" t="s">
        <v>55</v>
      </c>
      <c r="F70" t="s">
        <v>52</v>
      </c>
      <c r="G70" s="31">
        <v>350</v>
      </c>
      <c r="H70" t="s">
        <v>53</v>
      </c>
    </row>
    <row r="71" spans="1:8" x14ac:dyDescent="0.35">
      <c r="A71" s="30">
        <v>43471</v>
      </c>
      <c r="B71" s="28">
        <v>2019</v>
      </c>
      <c r="C71" s="28" t="s">
        <v>49</v>
      </c>
      <c r="D71" t="s">
        <v>131</v>
      </c>
      <c r="E71" t="s">
        <v>59</v>
      </c>
      <c r="F71" t="s">
        <v>65</v>
      </c>
      <c r="G71" s="31">
        <v>600</v>
      </c>
      <c r="H71" t="s">
        <v>57</v>
      </c>
    </row>
    <row r="72" spans="1:8" x14ac:dyDescent="0.35">
      <c r="A72" s="30">
        <v>43471</v>
      </c>
      <c r="B72" s="28">
        <v>2019</v>
      </c>
      <c r="C72" s="28" t="s">
        <v>49</v>
      </c>
      <c r="D72" t="s">
        <v>132</v>
      </c>
      <c r="E72" t="s">
        <v>61</v>
      </c>
      <c r="F72" t="s">
        <v>65</v>
      </c>
      <c r="G72" s="31">
        <v>600</v>
      </c>
      <c r="H72" t="s">
        <v>57</v>
      </c>
    </row>
    <row r="73" spans="1:8" x14ac:dyDescent="0.35">
      <c r="A73" s="30">
        <v>43471</v>
      </c>
      <c r="B73" s="28">
        <v>2019</v>
      </c>
      <c r="C73" s="28" t="s">
        <v>49</v>
      </c>
      <c r="D73" t="s">
        <v>133</v>
      </c>
      <c r="E73" t="s">
        <v>64</v>
      </c>
      <c r="F73" t="s">
        <v>52</v>
      </c>
      <c r="G73" s="31">
        <v>350</v>
      </c>
      <c r="H73" t="s">
        <v>53</v>
      </c>
    </row>
    <row r="74" spans="1:8" x14ac:dyDescent="0.35">
      <c r="A74" s="30">
        <v>43471</v>
      </c>
      <c r="B74" s="28">
        <v>2019</v>
      </c>
      <c r="C74" s="28" t="s">
        <v>49</v>
      </c>
      <c r="D74" t="s">
        <v>134</v>
      </c>
      <c r="E74" t="s">
        <v>55</v>
      </c>
      <c r="F74" t="s">
        <v>65</v>
      </c>
      <c r="G74" s="31">
        <v>600</v>
      </c>
      <c r="H74" t="s">
        <v>62</v>
      </c>
    </row>
    <row r="75" spans="1:8" x14ac:dyDescent="0.35">
      <c r="A75" s="30">
        <v>43471</v>
      </c>
      <c r="B75" s="28">
        <v>2019</v>
      </c>
      <c r="C75" s="28" t="s">
        <v>49</v>
      </c>
      <c r="D75" t="s">
        <v>135</v>
      </c>
      <c r="E75" t="s">
        <v>61</v>
      </c>
      <c r="F75" t="s">
        <v>67</v>
      </c>
      <c r="G75" s="31">
        <v>500</v>
      </c>
      <c r="H75" t="s">
        <v>57</v>
      </c>
    </row>
    <row r="76" spans="1:8" x14ac:dyDescent="0.35">
      <c r="A76" s="30">
        <v>43471</v>
      </c>
      <c r="B76" s="28">
        <v>2019</v>
      </c>
      <c r="C76" s="28" t="s">
        <v>49</v>
      </c>
      <c r="D76" t="s">
        <v>136</v>
      </c>
      <c r="E76" t="s">
        <v>59</v>
      </c>
      <c r="F76" t="s">
        <v>65</v>
      </c>
      <c r="G76" s="31">
        <v>600</v>
      </c>
      <c r="H76" t="s">
        <v>57</v>
      </c>
    </row>
    <row r="77" spans="1:8" x14ac:dyDescent="0.35">
      <c r="A77" s="30">
        <v>43471</v>
      </c>
      <c r="B77" s="28">
        <v>2019</v>
      </c>
      <c r="C77" s="28" t="s">
        <v>49</v>
      </c>
      <c r="D77" t="s">
        <v>137</v>
      </c>
      <c r="E77" t="s">
        <v>55</v>
      </c>
      <c r="F77" t="s">
        <v>67</v>
      </c>
      <c r="G77" s="31">
        <v>500</v>
      </c>
      <c r="H77" t="s">
        <v>57</v>
      </c>
    </row>
    <row r="78" spans="1:8" x14ac:dyDescent="0.35">
      <c r="A78" s="30">
        <v>43471</v>
      </c>
      <c r="B78" s="28">
        <v>2019</v>
      </c>
      <c r="C78" s="28" t="s">
        <v>49</v>
      </c>
      <c r="D78" t="s">
        <v>138</v>
      </c>
      <c r="E78" t="s">
        <v>64</v>
      </c>
      <c r="F78" t="s">
        <v>56</v>
      </c>
      <c r="G78" s="31">
        <v>200</v>
      </c>
      <c r="H78" t="s">
        <v>53</v>
      </c>
    </row>
    <row r="79" spans="1:8" x14ac:dyDescent="0.35">
      <c r="A79" s="30">
        <v>43472</v>
      </c>
      <c r="B79" s="28">
        <v>2019</v>
      </c>
      <c r="C79" s="28" t="s">
        <v>49</v>
      </c>
      <c r="D79" t="s">
        <v>139</v>
      </c>
      <c r="E79" t="s">
        <v>61</v>
      </c>
      <c r="F79" t="s">
        <v>56</v>
      </c>
      <c r="G79" s="31">
        <v>200</v>
      </c>
      <c r="H79" t="s">
        <v>53</v>
      </c>
    </row>
    <row r="80" spans="1:8" x14ac:dyDescent="0.35">
      <c r="A80" s="30">
        <v>43472</v>
      </c>
      <c r="B80" s="28">
        <v>2019</v>
      </c>
      <c r="C80" s="28" t="s">
        <v>49</v>
      </c>
      <c r="D80" t="s">
        <v>140</v>
      </c>
      <c r="E80" t="s">
        <v>55</v>
      </c>
      <c r="F80" t="s">
        <v>56</v>
      </c>
      <c r="G80" s="31">
        <v>200</v>
      </c>
      <c r="H80" t="s">
        <v>62</v>
      </c>
    </row>
    <row r="81" spans="1:8" x14ac:dyDescent="0.35">
      <c r="A81" s="30">
        <v>43472</v>
      </c>
      <c r="B81" s="28">
        <v>2019</v>
      </c>
      <c r="C81" s="28" t="s">
        <v>49</v>
      </c>
      <c r="D81" t="s">
        <v>141</v>
      </c>
      <c r="E81" t="s">
        <v>59</v>
      </c>
      <c r="F81" t="s">
        <v>67</v>
      </c>
      <c r="G81" s="31">
        <v>500</v>
      </c>
      <c r="H81" t="s">
        <v>53</v>
      </c>
    </row>
    <row r="82" spans="1:8" x14ac:dyDescent="0.35">
      <c r="A82" s="30">
        <v>43472</v>
      </c>
      <c r="B82" s="28">
        <v>2019</v>
      </c>
      <c r="C82" s="28" t="s">
        <v>49</v>
      </c>
      <c r="D82" t="s">
        <v>142</v>
      </c>
      <c r="E82" t="s">
        <v>55</v>
      </c>
      <c r="F82" t="s">
        <v>67</v>
      </c>
      <c r="G82" s="31">
        <v>500</v>
      </c>
      <c r="H82" t="s">
        <v>62</v>
      </c>
    </row>
    <row r="83" spans="1:8" x14ac:dyDescent="0.35">
      <c r="A83" s="30">
        <v>43472</v>
      </c>
      <c r="B83" s="28">
        <v>2019</v>
      </c>
      <c r="C83" s="28" t="s">
        <v>49</v>
      </c>
      <c r="D83" t="s">
        <v>143</v>
      </c>
      <c r="E83" t="s">
        <v>61</v>
      </c>
      <c r="F83" t="s">
        <v>52</v>
      </c>
      <c r="G83" s="31">
        <v>350</v>
      </c>
      <c r="H83" t="s">
        <v>53</v>
      </c>
    </row>
    <row r="84" spans="1:8" x14ac:dyDescent="0.35">
      <c r="A84" s="30">
        <v>43472</v>
      </c>
      <c r="B84" s="28">
        <v>2019</v>
      </c>
      <c r="C84" s="28" t="s">
        <v>49</v>
      </c>
      <c r="D84" t="s">
        <v>144</v>
      </c>
      <c r="E84" t="s">
        <v>64</v>
      </c>
      <c r="F84" t="s">
        <v>52</v>
      </c>
      <c r="G84" s="31">
        <v>350</v>
      </c>
      <c r="H84" t="s">
        <v>53</v>
      </c>
    </row>
    <row r="85" spans="1:8" x14ac:dyDescent="0.35">
      <c r="A85" s="30">
        <v>43472</v>
      </c>
      <c r="B85" s="28">
        <v>2019</v>
      </c>
      <c r="C85" s="28" t="s">
        <v>49</v>
      </c>
      <c r="D85" t="s">
        <v>145</v>
      </c>
      <c r="E85" t="s">
        <v>59</v>
      </c>
      <c r="F85" t="s">
        <v>56</v>
      </c>
      <c r="G85" s="31">
        <v>200</v>
      </c>
      <c r="H85" t="s">
        <v>62</v>
      </c>
    </row>
    <row r="86" spans="1:8" x14ac:dyDescent="0.35">
      <c r="A86" s="30">
        <v>43472</v>
      </c>
      <c r="B86" s="28">
        <v>2019</v>
      </c>
      <c r="C86" s="28" t="s">
        <v>49</v>
      </c>
      <c r="D86" t="s">
        <v>146</v>
      </c>
      <c r="E86" t="s">
        <v>51</v>
      </c>
      <c r="F86" t="s">
        <v>67</v>
      </c>
      <c r="G86" s="31">
        <v>500</v>
      </c>
      <c r="H86" t="s">
        <v>57</v>
      </c>
    </row>
    <row r="87" spans="1:8" x14ac:dyDescent="0.35">
      <c r="A87" s="30">
        <v>43472</v>
      </c>
      <c r="B87" s="28">
        <v>2019</v>
      </c>
      <c r="C87" s="28" t="s">
        <v>49</v>
      </c>
      <c r="D87" t="s">
        <v>147</v>
      </c>
      <c r="E87" t="s">
        <v>64</v>
      </c>
      <c r="F87" t="s">
        <v>65</v>
      </c>
      <c r="G87" s="31">
        <v>600</v>
      </c>
      <c r="H87" t="s">
        <v>53</v>
      </c>
    </row>
    <row r="88" spans="1:8" x14ac:dyDescent="0.35">
      <c r="A88" s="30">
        <v>43472</v>
      </c>
      <c r="B88" s="28">
        <v>2019</v>
      </c>
      <c r="C88" s="28" t="s">
        <v>49</v>
      </c>
      <c r="D88" t="s">
        <v>148</v>
      </c>
      <c r="E88" t="s">
        <v>64</v>
      </c>
      <c r="F88" t="s">
        <v>67</v>
      </c>
      <c r="G88" s="31">
        <v>500</v>
      </c>
      <c r="H88" t="s">
        <v>57</v>
      </c>
    </row>
    <row r="89" spans="1:8" x14ac:dyDescent="0.35">
      <c r="A89" s="30">
        <v>43473</v>
      </c>
      <c r="B89" s="28">
        <v>2019</v>
      </c>
      <c r="C89" s="28" t="s">
        <v>49</v>
      </c>
      <c r="D89" t="s">
        <v>149</v>
      </c>
      <c r="E89" t="s">
        <v>55</v>
      </c>
      <c r="F89" t="s">
        <v>52</v>
      </c>
      <c r="G89" s="31">
        <v>350</v>
      </c>
      <c r="H89" t="s">
        <v>53</v>
      </c>
    </row>
    <row r="90" spans="1:8" x14ac:dyDescent="0.35">
      <c r="A90" s="30">
        <v>43473</v>
      </c>
      <c r="B90" s="28">
        <v>2019</v>
      </c>
      <c r="C90" s="28" t="s">
        <v>49</v>
      </c>
      <c r="D90" t="s">
        <v>150</v>
      </c>
      <c r="E90" t="s">
        <v>59</v>
      </c>
      <c r="F90" t="s">
        <v>52</v>
      </c>
      <c r="G90" s="31">
        <v>350</v>
      </c>
      <c r="H90" t="s">
        <v>57</v>
      </c>
    </row>
    <row r="91" spans="1:8" x14ac:dyDescent="0.35">
      <c r="A91" s="30">
        <v>43473</v>
      </c>
      <c r="B91" s="28">
        <v>2019</v>
      </c>
      <c r="C91" s="28" t="s">
        <v>49</v>
      </c>
      <c r="D91" t="s">
        <v>151</v>
      </c>
      <c r="E91" t="s">
        <v>51</v>
      </c>
      <c r="F91" t="s">
        <v>52</v>
      </c>
      <c r="G91" s="31">
        <v>350</v>
      </c>
      <c r="H91" t="s">
        <v>53</v>
      </c>
    </row>
    <row r="92" spans="1:8" x14ac:dyDescent="0.35">
      <c r="A92" s="30">
        <v>43473</v>
      </c>
      <c r="B92" s="28">
        <v>2019</v>
      </c>
      <c r="C92" s="28" t="s">
        <v>49</v>
      </c>
      <c r="D92" t="s">
        <v>152</v>
      </c>
      <c r="E92" t="s">
        <v>55</v>
      </c>
      <c r="F92" t="s">
        <v>65</v>
      </c>
      <c r="G92" s="31">
        <v>600</v>
      </c>
      <c r="H92" t="s">
        <v>62</v>
      </c>
    </row>
    <row r="93" spans="1:8" x14ac:dyDescent="0.35">
      <c r="A93" s="30">
        <v>43473</v>
      </c>
      <c r="B93" s="28">
        <v>2019</v>
      </c>
      <c r="C93" s="28" t="s">
        <v>49</v>
      </c>
      <c r="D93" t="s">
        <v>153</v>
      </c>
      <c r="E93" t="s">
        <v>59</v>
      </c>
      <c r="F93" t="s">
        <v>65</v>
      </c>
      <c r="G93" s="31">
        <v>600</v>
      </c>
      <c r="H93" t="s">
        <v>62</v>
      </c>
    </row>
    <row r="94" spans="1:8" x14ac:dyDescent="0.35">
      <c r="A94" s="30">
        <v>43473</v>
      </c>
      <c r="B94" s="28">
        <v>2019</v>
      </c>
      <c r="C94" s="28" t="s">
        <v>49</v>
      </c>
      <c r="D94" t="s">
        <v>154</v>
      </c>
      <c r="E94" t="s">
        <v>61</v>
      </c>
      <c r="F94" t="s">
        <v>67</v>
      </c>
      <c r="G94" s="31">
        <v>500</v>
      </c>
      <c r="H94" t="s">
        <v>57</v>
      </c>
    </row>
    <row r="95" spans="1:8" x14ac:dyDescent="0.35">
      <c r="A95" s="30">
        <v>43473</v>
      </c>
      <c r="B95" s="28">
        <v>2019</v>
      </c>
      <c r="C95" s="28" t="s">
        <v>49</v>
      </c>
      <c r="D95" t="s">
        <v>155</v>
      </c>
      <c r="E95" t="s">
        <v>64</v>
      </c>
      <c r="F95" t="s">
        <v>67</v>
      </c>
      <c r="G95" s="31">
        <v>500</v>
      </c>
      <c r="H95" t="s">
        <v>53</v>
      </c>
    </row>
    <row r="96" spans="1:8" x14ac:dyDescent="0.35">
      <c r="A96" s="30">
        <v>43473</v>
      </c>
      <c r="B96" s="28">
        <v>2019</v>
      </c>
      <c r="C96" s="28" t="s">
        <v>49</v>
      </c>
      <c r="D96" t="s">
        <v>156</v>
      </c>
      <c r="E96" t="s">
        <v>55</v>
      </c>
      <c r="F96" t="s">
        <v>56</v>
      </c>
      <c r="G96" s="31">
        <v>200</v>
      </c>
      <c r="H96" t="s">
        <v>53</v>
      </c>
    </row>
    <row r="97" spans="1:8" x14ac:dyDescent="0.35">
      <c r="A97" s="30">
        <v>43473</v>
      </c>
      <c r="B97" s="28">
        <v>2019</v>
      </c>
      <c r="C97" s="28" t="s">
        <v>49</v>
      </c>
      <c r="D97" t="s">
        <v>157</v>
      </c>
      <c r="E97" t="s">
        <v>61</v>
      </c>
      <c r="F97" t="s">
        <v>65</v>
      </c>
      <c r="G97" s="31">
        <v>600</v>
      </c>
      <c r="H97" t="s">
        <v>62</v>
      </c>
    </row>
    <row r="98" spans="1:8" x14ac:dyDescent="0.35">
      <c r="A98" s="30">
        <v>43474</v>
      </c>
      <c r="B98" s="28">
        <v>2019</v>
      </c>
      <c r="C98" s="28" t="s">
        <v>49</v>
      </c>
      <c r="D98" t="s">
        <v>158</v>
      </c>
      <c r="E98" t="s">
        <v>59</v>
      </c>
      <c r="F98" t="s">
        <v>67</v>
      </c>
      <c r="G98" s="31">
        <v>500</v>
      </c>
      <c r="H98" t="s">
        <v>62</v>
      </c>
    </row>
    <row r="99" spans="1:8" x14ac:dyDescent="0.35">
      <c r="A99" s="30">
        <v>43474</v>
      </c>
      <c r="B99" s="28">
        <v>2019</v>
      </c>
      <c r="C99" s="28" t="s">
        <v>49</v>
      </c>
      <c r="D99" t="s">
        <v>159</v>
      </c>
      <c r="E99" t="s">
        <v>55</v>
      </c>
      <c r="F99" t="s">
        <v>56</v>
      </c>
      <c r="G99" s="31">
        <v>200</v>
      </c>
      <c r="H99" t="s">
        <v>57</v>
      </c>
    </row>
    <row r="100" spans="1:8" x14ac:dyDescent="0.35">
      <c r="A100" s="30">
        <v>43474</v>
      </c>
      <c r="B100" s="28">
        <v>2019</v>
      </c>
      <c r="C100" s="28" t="s">
        <v>49</v>
      </c>
      <c r="D100" t="s">
        <v>160</v>
      </c>
      <c r="E100" t="s">
        <v>64</v>
      </c>
      <c r="F100" t="s">
        <v>65</v>
      </c>
      <c r="G100" s="31">
        <v>600</v>
      </c>
      <c r="H100" t="s">
        <v>53</v>
      </c>
    </row>
    <row r="101" spans="1:8" x14ac:dyDescent="0.35">
      <c r="A101" s="30">
        <v>43474</v>
      </c>
      <c r="B101" s="28">
        <v>2019</v>
      </c>
      <c r="C101" s="28" t="s">
        <v>49</v>
      </c>
      <c r="D101" t="s">
        <v>161</v>
      </c>
      <c r="E101" t="s">
        <v>61</v>
      </c>
      <c r="F101" t="s">
        <v>67</v>
      </c>
      <c r="G101" s="31">
        <v>500</v>
      </c>
      <c r="H101" t="s">
        <v>57</v>
      </c>
    </row>
    <row r="102" spans="1:8" x14ac:dyDescent="0.35">
      <c r="A102" s="30">
        <v>43474</v>
      </c>
      <c r="B102" s="28">
        <v>2019</v>
      </c>
      <c r="C102" s="28" t="s">
        <v>49</v>
      </c>
      <c r="D102" t="s">
        <v>162</v>
      </c>
      <c r="E102" t="s">
        <v>55</v>
      </c>
      <c r="F102" t="s">
        <v>52</v>
      </c>
      <c r="G102" s="31">
        <v>350</v>
      </c>
      <c r="H102" t="s">
        <v>53</v>
      </c>
    </row>
    <row r="103" spans="1:8" x14ac:dyDescent="0.35">
      <c r="A103" s="30">
        <v>43474</v>
      </c>
      <c r="B103" s="28">
        <v>2019</v>
      </c>
      <c r="C103" s="28" t="s">
        <v>49</v>
      </c>
      <c r="D103" t="s">
        <v>163</v>
      </c>
      <c r="E103" t="s">
        <v>59</v>
      </c>
      <c r="F103" t="s">
        <v>52</v>
      </c>
      <c r="G103" s="31">
        <v>350</v>
      </c>
      <c r="H103" t="s">
        <v>53</v>
      </c>
    </row>
    <row r="104" spans="1:8" x14ac:dyDescent="0.35">
      <c r="A104" s="30">
        <v>43474</v>
      </c>
      <c r="B104" s="28">
        <v>2019</v>
      </c>
      <c r="C104" s="28" t="s">
        <v>49</v>
      </c>
      <c r="D104" t="s">
        <v>164</v>
      </c>
      <c r="E104" t="s">
        <v>55</v>
      </c>
      <c r="F104" t="s">
        <v>52</v>
      </c>
      <c r="G104" s="31">
        <v>350</v>
      </c>
      <c r="H104" t="s">
        <v>57</v>
      </c>
    </row>
    <row r="105" spans="1:8" x14ac:dyDescent="0.35">
      <c r="A105" s="30">
        <v>43474</v>
      </c>
      <c r="B105" s="28">
        <v>2019</v>
      </c>
      <c r="C105" s="28" t="s">
        <v>49</v>
      </c>
      <c r="D105" t="s">
        <v>165</v>
      </c>
      <c r="E105" t="s">
        <v>61</v>
      </c>
      <c r="F105" t="s">
        <v>65</v>
      </c>
      <c r="G105" s="31">
        <v>600</v>
      </c>
      <c r="H105" t="s">
        <v>62</v>
      </c>
    </row>
    <row r="106" spans="1:8" x14ac:dyDescent="0.35">
      <c r="A106" s="30">
        <v>43474</v>
      </c>
      <c r="B106" s="28">
        <v>2019</v>
      </c>
      <c r="C106" s="28" t="s">
        <v>49</v>
      </c>
      <c r="D106" t="s">
        <v>166</v>
      </c>
      <c r="E106" t="s">
        <v>64</v>
      </c>
      <c r="F106" t="s">
        <v>56</v>
      </c>
      <c r="G106" s="31">
        <v>200</v>
      </c>
      <c r="H106" t="s">
        <v>62</v>
      </c>
    </row>
    <row r="107" spans="1:8" x14ac:dyDescent="0.35">
      <c r="A107" s="30">
        <v>43474</v>
      </c>
      <c r="B107" s="28">
        <v>2019</v>
      </c>
      <c r="C107" s="28" t="s">
        <v>49</v>
      </c>
      <c r="D107" t="s">
        <v>167</v>
      </c>
      <c r="E107" t="s">
        <v>59</v>
      </c>
      <c r="F107" t="s">
        <v>67</v>
      </c>
      <c r="G107" s="31">
        <v>500</v>
      </c>
      <c r="H107" t="s">
        <v>57</v>
      </c>
    </row>
    <row r="108" spans="1:8" x14ac:dyDescent="0.35">
      <c r="A108" s="30">
        <v>43474</v>
      </c>
      <c r="B108" s="28">
        <v>2019</v>
      </c>
      <c r="C108" s="28" t="s">
        <v>49</v>
      </c>
      <c r="D108" t="s">
        <v>168</v>
      </c>
      <c r="E108" t="s">
        <v>51</v>
      </c>
      <c r="F108" t="s">
        <v>67</v>
      </c>
      <c r="G108" s="31">
        <v>500</v>
      </c>
      <c r="H108" t="s">
        <v>53</v>
      </c>
    </row>
    <row r="109" spans="1:8" x14ac:dyDescent="0.35">
      <c r="A109" s="30">
        <v>43474</v>
      </c>
      <c r="B109" s="28">
        <v>2019</v>
      </c>
      <c r="C109" s="28" t="s">
        <v>49</v>
      </c>
      <c r="D109" t="s">
        <v>169</v>
      </c>
      <c r="E109" t="s">
        <v>64</v>
      </c>
      <c r="F109" t="s">
        <v>52</v>
      </c>
      <c r="G109" s="31">
        <v>350</v>
      </c>
      <c r="H109" t="s">
        <v>57</v>
      </c>
    </row>
    <row r="110" spans="1:8" x14ac:dyDescent="0.35">
      <c r="A110" s="30">
        <v>43475</v>
      </c>
      <c r="B110" s="28">
        <v>2019</v>
      </c>
      <c r="C110" s="28" t="s">
        <v>49</v>
      </c>
      <c r="D110" t="s">
        <v>170</v>
      </c>
      <c r="E110" t="s">
        <v>64</v>
      </c>
      <c r="F110" t="s">
        <v>52</v>
      </c>
      <c r="G110" s="31">
        <v>350</v>
      </c>
      <c r="H110" t="s">
        <v>57</v>
      </c>
    </row>
    <row r="111" spans="1:8" x14ac:dyDescent="0.35">
      <c r="A111" s="30">
        <v>43475</v>
      </c>
      <c r="B111" s="28">
        <v>2019</v>
      </c>
      <c r="C111" s="28" t="s">
        <v>49</v>
      </c>
      <c r="D111" t="s">
        <v>171</v>
      </c>
      <c r="E111" t="s">
        <v>55</v>
      </c>
      <c r="F111" t="s">
        <v>56</v>
      </c>
      <c r="G111" s="31">
        <v>200</v>
      </c>
      <c r="H111" t="s">
        <v>62</v>
      </c>
    </row>
    <row r="112" spans="1:8" x14ac:dyDescent="0.35">
      <c r="A112" s="30">
        <v>43475</v>
      </c>
      <c r="B112" s="28">
        <v>2019</v>
      </c>
      <c r="C112" s="28" t="s">
        <v>49</v>
      </c>
      <c r="D112" t="s">
        <v>172</v>
      </c>
      <c r="E112" t="s">
        <v>59</v>
      </c>
      <c r="F112" t="s">
        <v>65</v>
      </c>
      <c r="G112" s="31">
        <v>600</v>
      </c>
      <c r="H112" t="s">
        <v>57</v>
      </c>
    </row>
    <row r="113" spans="1:8" x14ac:dyDescent="0.35">
      <c r="A113" s="30">
        <v>43475</v>
      </c>
      <c r="B113" s="28">
        <v>2019</v>
      </c>
      <c r="C113" s="28" t="s">
        <v>49</v>
      </c>
      <c r="D113" t="s">
        <v>173</v>
      </c>
      <c r="E113" t="s">
        <v>51</v>
      </c>
      <c r="F113" t="s">
        <v>56</v>
      </c>
      <c r="G113" s="31">
        <v>200</v>
      </c>
      <c r="H113" t="s">
        <v>62</v>
      </c>
    </row>
    <row r="114" spans="1:8" x14ac:dyDescent="0.35">
      <c r="A114" s="30">
        <v>43475</v>
      </c>
      <c r="B114" s="28">
        <v>2019</v>
      </c>
      <c r="C114" s="28" t="s">
        <v>49</v>
      </c>
      <c r="D114" t="s">
        <v>174</v>
      </c>
      <c r="E114" t="s">
        <v>55</v>
      </c>
      <c r="F114" t="s">
        <v>67</v>
      </c>
      <c r="G114" s="31">
        <v>500</v>
      </c>
      <c r="H114" t="s">
        <v>53</v>
      </c>
    </row>
    <row r="115" spans="1:8" x14ac:dyDescent="0.35">
      <c r="A115" s="30">
        <v>43475</v>
      </c>
      <c r="B115" s="28">
        <v>2019</v>
      </c>
      <c r="C115" s="28" t="s">
        <v>49</v>
      </c>
      <c r="D115" t="s">
        <v>175</v>
      </c>
      <c r="E115" t="s">
        <v>59</v>
      </c>
      <c r="F115" t="s">
        <v>65</v>
      </c>
      <c r="G115" s="31">
        <v>600</v>
      </c>
      <c r="H115" t="s">
        <v>57</v>
      </c>
    </row>
    <row r="116" spans="1:8" x14ac:dyDescent="0.35">
      <c r="A116" s="30">
        <v>43475</v>
      </c>
      <c r="B116" s="28">
        <v>2019</v>
      </c>
      <c r="C116" s="28" t="s">
        <v>49</v>
      </c>
      <c r="D116" t="s">
        <v>176</v>
      </c>
      <c r="E116" t="s">
        <v>61</v>
      </c>
      <c r="F116" t="s">
        <v>67</v>
      </c>
      <c r="G116" s="31">
        <v>500</v>
      </c>
      <c r="H116" t="s">
        <v>57</v>
      </c>
    </row>
    <row r="117" spans="1:8" x14ac:dyDescent="0.35">
      <c r="A117" s="30">
        <v>43475</v>
      </c>
      <c r="B117" s="28">
        <v>2019</v>
      </c>
      <c r="C117" s="28" t="s">
        <v>49</v>
      </c>
      <c r="D117" t="s">
        <v>177</v>
      </c>
      <c r="E117" t="s">
        <v>64</v>
      </c>
      <c r="F117" t="s">
        <v>52</v>
      </c>
      <c r="G117" s="31">
        <v>350</v>
      </c>
      <c r="H117" t="s">
        <v>53</v>
      </c>
    </row>
    <row r="118" spans="1:8" x14ac:dyDescent="0.35">
      <c r="A118" s="30">
        <v>43475</v>
      </c>
      <c r="B118" s="28">
        <v>2019</v>
      </c>
      <c r="C118" s="28" t="s">
        <v>49</v>
      </c>
      <c r="D118" t="s">
        <v>178</v>
      </c>
      <c r="E118" t="s">
        <v>55</v>
      </c>
      <c r="F118" t="s">
        <v>52</v>
      </c>
      <c r="G118" s="31">
        <v>350</v>
      </c>
      <c r="H118" t="s">
        <v>53</v>
      </c>
    </row>
    <row r="119" spans="1:8" x14ac:dyDescent="0.35">
      <c r="A119" s="30">
        <v>43475</v>
      </c>
      <c r="B119" s="28">
        <v>2019</v>
      </c>
      <c r="C119" s="28" t="s">
        <v>49</v>
      </c>
      <c r="D119" t="s">
        <v>179</v>
      </c>
      <c r="E119" t="s">
        <v>61</v>
      </c>
      <c r="F119" t="s">
        <v>65</v>
      </c>
      <c r="G119" s="31">
        <v>600</v>
      </c>
      <c r="H119" t="s">
        <v>62</v>
      </c>
    </row>
    <row r="120" spans="1:8" x14ac:dyDescent="0.35">
      <c r="A120" s="30">
        <v>43475</v>
      </c>
      <c r="B120" s="28">
        <v>2019</v>
      </c>
      <c r="C120" s="28" t="s">
        <v>49</v>
      </c>
      <c r="D120" t="s">
        <v>180</v>
      </c>
      <c r="E120" t="s">
        <v>59</v>
      </c>
      <c r="F120" t="s">
        <v>56</v>
      </c>
      <c r="G120" s="31">
        <v>200</v>
      </c>
      <c r="H120" t="s">
        <v>62</v>
      </c>
    </row>
    <row r="121" spans="1:8" x14ac:dyDescent="0.35">
      <c r="A121" s="30">
        <v>43475</v>
      </c>
      <c r="B121" s="28">
        <v>2019</v>
      </c>
      <c r="C121" s="28" t="s">
        <v>49</v>
      </c>
      <c r="D121" t="s">
        <v>181</v>
      </c>
      <c r="E121" t="s">
        <v>55</v>
      </c>
      <c r="F121" t="s">
        <v>56</v>
      </c>
      <c r="G121" s="31">
        <v>200</v>
      </c>
      <c r="H121" t="s">
        <v>62</v>
      </c>
    </row>
  </sheetData>
  <autoFilter ref="A1:H121" xr:uid="{2B2B51B5-49BE-45CE-B725-FBA56359B372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Limpiar base</vt:lpstr>
      <vt:lpstr>Limpiar base backup</vt:lpstr>
      <vt:lpstr>Insertar-Eliminar filas</vt:lpstr>
      <vt:lpstr>Detalle1</vt:lpstr>
      <vt:lpstr>Hoja1</vt:lpstr>
      <vt:lpstr>Actualizar TD</vt:lpstr>
      <vt:lpstr>Duplicar ficha</vt:lpstr>
      <vt:lpstr>Ficha del cliente</vt:lpstr>
      <vt:lpstr>Ficha del cliente (4)</vt:lpstr>
      <vt:lpstr>Ficha del cliente (3)</vt:lpstr>
      <vt:lpstr>Ficha del cliente (2)</vt:lpstr>
      <vt:lpstr>Filtrar 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Olivia Linares</dc:creator>
  <cp:lastModifiedBy>Aldo Hernandez</cp:lastModifiedBy>
  <dcterms:created xsi:type="dcterms:W3CDTF">2024-08-09T10:37:45Z</dcterms:created>
  <dcterms:modified xsi:type="dcterms:W3CDTF">2025-09-16T01:51:58Z</dcterms:modified>
</cp:coreProperties>
</file>