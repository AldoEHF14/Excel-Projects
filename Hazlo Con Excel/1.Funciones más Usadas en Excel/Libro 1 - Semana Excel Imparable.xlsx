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doh\Downloads\"/>
    </mc:Choice>
  </mc:AlternateContent>
  <xr:revisionPtr revIDLastSave="0" documentId="13_ncr:1_{7BFC9A97-A600-414B-A44A-FBE57914927B}" xr6:coauthVersionLast="47" xr6:coauthVersionMax="47" xr10:uidLastSave="{00000000-0000-0000-0000-000000000000}"/>
  <bookViews>
    <workbookView xWindow="-110" yWindow="-110" windowWidth="21820" windowHeight="13900" firstSheet="5" activeTab="9" xr2:uid="{5AAF8AAC-8E4D-475F-91A2-87847D68FE99}"/>
  </bookViews>
  <sheets>
    <sheet name="Lo que aprenderás" sheetId="25" r:id="rId1"/>
    <sheet name="El Arte De Ser Agil" sheetId="24" r:id="rId2"/>
    <sheet name="CSV" sheetId="26" r:id="rId3"/>
    <sheet name="Formateado" sheetId="27" r:id="rId4"/>
    <sheet name="SUMAR AVANZADO" sheetId="38" r:id="rId5"/>
    <sheet name="BUSCARV" sheetId="37" r:id="rId6"/>
    <sheet name="BUSCARV 2" sheetId="40" r:id="rId7"/>
    <sheet name="BUSCARV Aproximado" sheetId="42" r:id="rId8"/>
    <sheet name="FUNCION SI" sheetId="41" r:id="rId9"/>
    <sheet name="Tu Insignia" sheetId="22" r:id="rId10"/>
  </sheets>
  <externalReferences>
    <externalReference r:id="rId11"/>
  </externalReferences>
  <definedNames>
    <definedName name="_xlnm._FilterDatabase" localSheetId="5" hidden="1">BUSCARV!#REF!</definedName>
    <definedName name="_xlnm._FilterDatabase" localSheetId="6" hidden="1">'BUSCARV 2'!#REF!</definedName>
    <definedName name="_xlnm._FilterDatabase" localSheetId="7" hidden="1">'BUSCARV Aproximado'!#REF!</definedName>
    <definedName name="_xlnm._FilterDatabase" localSheetId="2" hidden="1">CSV!$D$2:$J$324</definedName>
    <definedName name="_xlnm._FilterDatabase" localSheetId="1" hidden="1">'El Arte De Ser Agil'!$C$10:$H$28</definedName>
    <definedName name="_xlnm._FilterDatabase" localSheetId="3" hidden="1">Formateado!$A$2:$H$324</definedName>
    <definedName name="_xlnm._FilterDatabase" localSheetId="8" hidden="1">'FUNCION SI'!#REF!</definedName>
    <definedName name="_xlnm._FilterDatabase" localSheetId="4" hidden="1">'SUMAR AVANZADO'!$A$1:$E$323</definedName>
    <definedName name="_xlcn.WorksheetConnection_T9A2C161" hidden="1">#REF!</definedName>
    <definedName name="_xlnm.Print_Area" localSheetId="1">'El Arte De Ser Agil'!$A$1:$E$8</definedName>
    <definedName name="combo">#REF!:INDEX(#REF!,MATCH("zzzzzzzz",#REF!,1))</definedName>
    <definedName name="Elegir_Division">CHOOSE([1]Elegir_NM!$H$7,[1]!datos_aa[Division],[1]!datos_actual[Division])</definedName>
    <definedName name="Elegir_Ingresos">CHOOSE([1]Elegir_NM!$H$7,[1]!datos_aa[Ingresos],[1]!datos_actual[Ingresos])</definedName>
    <definedName name="Ingresos">INDEX('[1]Graficas#4'!$B$2:$B$41,MATCH('[1]Graficas#4'!$F$3,'[1]Graficas#4'!$A$2:$A$41,0)):INDEX('[1]Graficas#4'!$B$2:$B$41,MATCH('[1]Graficas#4'!$F$4,'[1]Graficas#4'!$A$2:$A$41,0))</definedName>
    <definedName name="ListaD2">_xlfn._xlws.FILTER('[1]INDICE Y COINCIDIR'!XEW1:XEY15,'[1]INDICE Y COINCIDIR'!XEW1048576:XEY1048576='[1]INDICE Y COINCIDIR'!A1048576,"No hay valores")</definedName>
    <definedName name="Listadesplegable">INDEX(('[1]INDICE Y COINCIDIR'!$A$37:$A$51,'[1]INDICE Y COINCIDIR'!$B$37:$B$51,'[1]INDICE Y COINCIDIR'!$C$37:$C$51),,,'[1]INDICE Y COINCIDIR'!A1048576)</definedName>
    <definedName name="Miapp">INDEX('[1]Graficas#4'!$A$2:$A$41,MATCH('[1]Graficas#4'!$F$3,'[1]Graficas#4'!$A$2:$A$41,0)):INDEX('[1]Graficas#4'!$A$2:$A$41,MATCH('[1]Graficas#4'!$F$4,'[1]Graficas#4'!$A$2:$A$41,0))</definedName>
    <definedName name="Precioalcierre">INDEX('[1]Graficas#3'!$B$2:$B$128,MATCH('[1]Graficas#3'!$G$4,'[1]Graficas#3'!$A$2:$A$128,0)):INDEX('[1]Graficas#3'!$B$2:$B$128,MATCH('[1]Graficas#3'!$G$5,'[1]Graficas#3'!$A$2:$A$128,0))</definedName>
    <definedName name="PruebaA" localSheetId="5">#REF!</definedName>
    <definedName name="PruebaA" localSheetId="6">#REF!</definedName>
    <definedName name="PruebaA" localSheetId="7">#REF!</definedName>
    <definedName name="PruebaA" localSheetId="8">#REF!</definedName>
    <definedName name="PruebaA" localSheetId="4">#REF!</definedName>
    <definedName name="PruebaA">#REF!</definedName>
    <definedName name="RangoFechas">INDEX('[1]Graficas#3'!$A$2:$A$128,MATCH('[1]Graficas#3'!$G$4,'[1]Graficas#3'!$A$2:$A$128,0)):INDEX('[1]Graficas#3'!$A$2:$A$128,MATCH('[1]Graficas#3'!$G$5,'[1]Graficas#3'!$A$2:$A$128,0))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1" l="1"/>
  <c r="E4" i="41"/>
  <c r="E5" i="41"/>
  <c r="E6" i="41"/>
  <c r="E7" i="41"/>
  <c r="E8" i="41"/>
  <c r="E9" i="41"/>
  <c r="E10" i="41"/>
  <c r="E11" i="41"/>
  <c r="E12" i="41"/>
  <c r="E13" i="41"/>
  <c r="E14" i="41"/>
  <c r="E15" i="41"/>
  <c r="E16" i="41"/>
  <c r="E17" i="41"/>
  <c r="E18" i="41"/>
  <c r="E19" i="41"/>
  <c r="E20" i="41"/>
  <c r="E21" i="41"/>
  <c r="E22" i="41"/>
  <c r="E23" i="41"/>
  <c r="E24" i="41"/>
  <c r="E25" i="41"/>
  <c r="E26" i="41"/>
  <c r="E27" i="41"/>
  <c r="E28" i="41"/>
  <c r="E29" i="41"/>
  <c r="E30" i="41"/>
  <c r="E31" i="41"/>
  <c r="E32" i="41"/>
  <c r="E33" i="41"/>
  <c r="E34" i="41"/>
  <c r="E35" i="41"/>
  <c r="E36" i="41"/>
  <c r="E37" i="41"/>
  <c r="E38" i="41"/>
  <c r="E39" i="41"/>
  <c r="E40" i="41"/>
  <c r="E41" i="41"/>
  <c r="E42" i="41"/>
  <c r="E43" i="41"/>
  <c r="E44" i="41"/>
  <c r="E45" i="41"/>
  <c r="E46" i="41"/>
  <c r="E47" i="41"/>
  <c r="E48" i="41"/>
  <c r="E49" i="41"/>
  <c r="E50" i="41"/>
  <c r="E51" i="41"/>
  <c r="E52" i="41"/>
  <c r="E53" i="41"/>
  <c r="E54" i="41"/>
  <c r="E55" i="41"/>
  <c r="E56" i="41"/>
  <c r="E57" i="41"/>
  <c r="E58" i="41"/>
  <c r="E59" i="41"/>
  <c r="E60" i="41"/>
  <c r="E61" i="41"/>
  <c r="E62" i="41"/>
  <c r="E63" i="41"/>
  <c r="E64" i="41"/>
  <c r="E65" i="41"/>
  <c r="E66" i="41"/>
  <c r="E67" i="41"/>
  <c r="E68" i="41"/>
  <c r="E69" i="41"/>
  <c r="E70" i="41"/>
  <c r="E71" i="41"/>
  <c r="E72" i="41"/>
  <c r="E73" i="41"/>
  <c r="E74" i="41"/>
  <c r="E75" i="41"/>
  <c r="E76" i="41"/>
  <c r="E77" i="41"/>
  <c r="E78" i="41"/>
  <c r="E79" i="41"/>
  <c r="E80" i="41"/>
  <c r="E81" i="41"/>
  <c r="E82" i="41"/>
  <c r="E83" i="41"/>
  <c r="E84" i="41"/>
  <c r="E85" i="41"/>
  <c r="E86" i="41"/>
  <c r="E87" i="41"/>
  <c r="E88" i="41"/>
  <c r="E89" i="41"/>
  <c r="E90" i="41"/>
  <c r="E91" i="41"/>
  <c r="E92" i="41"/>
  <c r="E93" i="41"/>
  <c r="E94" i="41"/>
  <c r="E95" i="41"/>
  <c r="E96" i="41"/>
  <c r="E97" i="41"/>
  <c r="E98" i="41"/>
  <c r="E99" i="41"/>
  <c r="E100" i="41"/>
  <c r="E101" i="41"/>
  <c r="E102" i="41"/>
  <c r="E103" i="41"/>
  <c r="E104" i="41"/>
  <c r="E105" i="41"/>
  <c r="E106" i="41"/>
  <c r="E107" i="41"/>
  <c r="E108" i="41"/>
  <c r="E109" i="41"/>
  <c r="E110" i="41"/>
  <c r="E111" i="41"/>
  <c r="E112" i="41"/>
  <c r="E113" i="41"/>
  <c r="E114" i="41"/>
  <c r="E115" i="41"/>
  <c r="E116" i="41"/>
  <c r="E117" i="41"/>
  <c r="E118" i="41"/>
  <c r="E119" i="41"/>
  <c r="E120" i="41"/>
  <c r="E121" i="41"/>
  <c r="E122" i="41"/>
  <c r="E123" i="41"/>
  <c r="E124" i="41"/>
  <c r="E125" i="41"/>
  <c r="E126" i="41"/>
  <c r="E127" i="41"/>
  <c r="E128" i="41"/>
  <c r="E129" i="41"/>
  <c r="E130" i="41"/>
  <c r="E131" i="41"/>
  <c r="E132" i="41"/>
  <c r="E133" i="41"/>
  <c r="E134" i="41"/>
  <c r="E135" i="41"/>
  <c r="E136" i="41"/>
  <c r="E137" i="41"/>
  <c r="E138" i="41"/>
  <c r="E139" i="41"/>
  <c r="E140" i="41"/>
  <c r="E141" i="41"/>
  <c r="E142" i="41"/>
  <c r="E143" i="41"/>
  <c r="E144" i="41"/>
  <c r="E145" i="41"/>
  <c r="E146" i="41"/>
  <c r="E147" i="41"/>
  <c r="E148" i="41"/>
  <c r="E149" i="41"/>
  <c r="E150" i="41"/>
  <c r="E151" i="41"/>
  <c r="E152" i="41"/>
  <c r="E153" i="41"/>
  <c r="E154" i="41"/>
  <c r="E155" i="41"/>
  <c r="E156" i="41"/>
  <c r="E157" i="41"/>
  <c r="E158" i="41"/>
  <c r="E159" i="41"/>
  <c r="E160" i="41"/>
  <c r="E161" i="41"/>
  <c r="E162" i="41"/>
  <c r="E163" i="41"/>
  <c r="E164" i="41"/>
  <c r="E165" i="41"/>
  <c r="E166" i="41"/>
  <c r="E167" i="41"/>
  <c r="E168" i="41"/>
  <c r="E169" i="41"/>
  <c r="E170" i="41"/>
  <c r="E171" i="41"/>
  <c r="E172" i="41"/>
  <c r="E173" i="41"/>
  <c r="E174" i="41"/>
  <c r="E175" i="41"/>
  <c r="E176" i="41"/>
  <c r="E177" i="41"/>
  <c r="E178" i="41"/>
  <c r="E179" i="41"/>
  <c r="E180" i="41"/>
  <c r="E181" i="41"/>
  <c r="E182" i="41"/>
  <c r="E183" i="41"/>
  <c r="E184" i="41"/>
  <c r="E185" i="41"/>
  <c r="E186" i="41"/>
  <c r="E187" i="41"/>
  <c r="E188" i="41"/>
  <c r="E189" i="41"/>
  <c r="E190" i="41"/>
  <c r="E191" i="41"/>
  <c r="E192" i="41"/>
  <c r="E193" i="41"/>
  <c r="E194" i="41"/>
  <c r="E195" i="41"/>
  <c r="E196" i="41"/>
  <c r="E197" i="41"/>
  <c r="E198" i="41"/>
  <c r="E199" i="41"/>
  <c r="E200" i="41"/>
  <c r="E201" i="41"/>
  <c r="E202" i="41"/>
  <c r="E203" i="41"/>
  <c r="E204" i="41"/>
  <c r="E205" i="41"/>
  <c r="E206" i="41"/>
  <c r="E207" i="41"/>
  <c r="E208" i="41"/>
  <c r="E209" i="41"/>
  <c r="E210" i="41"/>
  <c r="E211" i="41"/>
  <c r="E212" i="41"/>
  <c r="E213" i="41"/>
  <c r="E214" i="41"/>
  <c r="E215" i="41"/>
  <c r="E216" i="41"/>
  <c r="E217" i="41"/>
  <c r="E218" i="41"/>
  <c r="E219" i="41"/>
  <c r="E220" i="41"/>
  <c r="E221" i="41"/>
  <c r="E222" i="41"/>
  <c r="E223" i="41"/>
  <c r="E224" i="41"/>
  <c r="E225" i="41"/>
  <c r="E226" i="41"/>
  <c r="E227" i="41"/>
  <c r="E228" i="41"/>
  <c r="E229" i="41"/>
  <c r="E230" i="41"/>
  <c r="E231" i="41"/>
  <c r="E232" i="41"/>
  <c r="E233" i="41"/>
  <c r="E234" i="41"/>
  <c r="E235" i="41"/>
  <c r="E236" i="41"/>
  <c r="E237" i="41"/>
  <c r="E238" i="41"/>
  <c r="E239" i="41"/>
  <c r="E240" i="41"/>
  <c r="E241" i="41"/>
  <c r="E242" i="41"/>
  <c r="E243" i="41"/>
  <c r="E244" i="41"/>
  <c r="E245" i="41"/>
  <c r="E246" i="41"/>
  <c r="E247" i="41"/>
  <c r="E248" i="41"/>
  <c r="E249" i="41"/>
  <c r="E250" i="41"/>
  <c r="E251" i="41"/>
  <c r="E252" i="41"/>
  <c r="E253" i="41"/>
  <c r="E254" i="41"/>
  <c r="E255" i="41"/>
  <c r="E256" i="41"/>
  <c r="E257" i="41"/>
  <c r="E258" i="41"/>
  <c r="E259" i="41"/>
  <c r="E260" i="41"/>
  <c r="E261" i="41"/>
  <c r="E262" i="41"/>
  <c r="E263" i="41"/>
  <c r="E264" i="41"/>
  <c r="E265" i="41"/>
  <c r="E266" i="41"/>
  <c r="E267" i="41"/>
  <c r="E268" i="41"/>
  <c r="E269" i="41"/>
  <c r="E270" i="41"/>
  <c r="E271" i="41"/>
  <c r="E272" i="41"/>
  <c r="E273" i="41"/>
  <c r="E274" i="41"/>
  <c r="E275" i="41"/>
  <c r="E276" i="41"/>
  <c r="E277" i="41"/>
  <c r="E278" i="41"/>
  <c r="E279" i="41"/>
  <c r="E280" i="41"/>
  <c r="E281" i="41"/>
  <c r="E282" i="41"/>
  <c r="E283" i="41"/>
  <c r="E284" i="41"/>
  <c r="E285" i="41"/>
  <c r="E286" i="41"/>
  <c r="E287" i="41"/>
  <c r="E288" i="41"/>
  <c r="E289" i="41"/>
  <c r="E290" i="41"/>
  <c r="E291" i="41"/>
  <c r="E292" i="41"/>
  <c r="E293" i="41"/>
  <c r="E294" i="41"/>
  <c r="E295" i="41"/>
  <c r="E296" i="41"/>
  <c r="E297" i="41"/>
  <c r="E298" i="41"/>
  <c r="E299" i="41"/>
  <c r="E300" i="41"/>
  <c r="E301" i="41"/>
  <c r="E302" i="41"/>
  <c r="E303" i="41"/>
  <c r="E304" i="41"/>
  <c r="E305" i="41"/>
  <c r="E306" i="41"/>
  <c r="E307" i="41"/>
  <c r="E308" i="41"/>
  <c r="E309" i="41"/>
  <c r="E310" i="41"/>
  <c r="E311" i="41"/>
  <c r="E312" i="41"/>
  <c r="E313" i="41"/>
  <c r="E314" i="41"/>
  <c r="E315" i="41"/>
  <c r="E316" i="41"/>
  <c r="E317" i="41"/>
  <c r="E318" i="41"/>
  <c r="E319" i="41"/>
  <c r="E320" i="41"/>
  <c r="E321" i="41"/>
  <c r="E322" i="41"/>
  <c r="E323" i="41"/>
  <c r="E2" i="41"/>
  <c r="D13" i="42"/>
  <c r="D14" i="42"/>
  <c r="D15" i="42"/>
  <c r="D16" i="42"/>
  <c r="D17" i="42"/>
  <c r="D18" i="42"/>
  <c r="D19" i="42"/>
  <c r="D20" i="42"/>
  <c r="D21" i="42"/>
  <c r="D22" i="42"/>
  <c r="D23" i="42"/>
  <c r="D24" i="42"/>
  <c r="D25" i="42"/>
  <c r="D26" i="42"/>
  <c r="D27" i="42"/>
  <c r="D28" i="42"/>
  <c r="D29" i="42"/>
  <c r="D30" i="42"/>
  <c r="D31" i="42"/>
  <c r="D12" i="42"/>
  <c r="C3" i="40"/>
  <c r="C4" i="40"/>
  <c r="C5" i="40"/>
  <c r="C6" i="40"/>
  <c r="C7" i="40"/>
  <c r="C8" i="40"/>
  <c r="C9" i="40"/>
  <c r="C10" i="40"/>
  <c r="C11" i="40"/>
  <c r="C12" i="40"/>
  <c r="C13" i="40"/>
  <c r="C14" i="40"/>
  <c r="C15" i="40"/>
  <c r="C16" i="40"/>
  <c r="C17" i="40"/>
  <c r="C18" i="40"/>
  <c r="C19" i="40"/>
  <c r="C20" i="40"/>
  <c r="C21" i="40"/>
  <c r="C22" i="40"/>
  <c r="C23" i="40"/>
  <c r="C24" i="40"/>
  <c r="C25" i="40"/>
  <c r="C26" i="40"/>
  <c r="C27" i="40"/>
  <c r="C28" i="40"/>
  <c r="C29" i="40"/>
  <c r="C30" i="40"/>
  <c r="C31" i="40"/>
  <c r="C32" i="40"/>
  <c r="C33" i="40"/>
  <c r="C34" i="40"/>
  <c r="C35" i="40"/>
  <c r="C36" i="40"/>
  <c r="C37" i="40"/>
  <c r="C38" i="40"/>
  <c r="C39" i="40"/>
  <c r="C40" i="40"/>
  <c r="C41" i="40"/>
  <c r="C42" i="40"/>
  <c r="C43" i="40"/>
  <c r="C44" i="40"/>
  <c r="C45" i="40"/>
  <c r="C46" i="40"/>
  <c r="C47" i="40"/>
  <c r="C48" i="40"/>
  <c r="C49" i="40"/>
  <c r="C50" i="40"/>
  <c r="C51" i="40"/>
  <c r="C52" i="40"/>
  <c r="C53" i="40"/>
  <c r="C54" i="40"/>
  <c r="C55" i="40"/>
  <c r="C56" i="40"/>
  <c r="C57" i="40"/>
  <c r="C58" i="40"/>
  <c r="C59" i="40"/>
  <c r="C60" i="40"/>
  <c r="C61" i="40"/>
  <c r="C62" i="40"/>
  <c r="C63" i="40"/>
  <c r="C64" i="40"/>
  <c r="C65" i="40"/>
  <c r="C66" i="40"/>
  <c r="C67" i="40"/>
  <c r="C68" i="40"/>
  <c r="C69" i="40"/>
  <c r="C70" i="40"/>
  <c r="C71" i="40"/>
  <c r="C72" i="40"/>
  <c r="C73" i="40"/>
  <c r="C74" i="40"/>
  <c r="C75" i="40"/>
  <c r="C76" i="40"/>
  <c r="C77" i="40"/>
  <c r="C78" i="40"/>
  <c r="C79" i="40"/>
  <c r="C80" i="40"/>
  <c r="C81" i="40"/>
  <c r="C82" i="40"/>
  <c r="C83" i="40"/>
  <c r="C84" i="40"/>
  <c r="C85" i="40"/>
  <c r="C86" i="40"/>
  <c r="C87" i="40"/>
  <c r="C88" i="40"/>
  <c r="C89" i="40"/>
  <c r="C90" i="40"/>
  <c r="C91" i="40"/>
  <c r="C92" i="40"/>
  <c r="C93" i="40"/>
  <c r="C94" i="40"/>
  <c r="C95" i="40"/>
  <c r="C96" i="40"/>
  <c r="C97" i="40"/>
  <c r="C98" i="40"/>
  <c r="C99" i="40"/>
  <c r="C100" i="40"/>
  <c r="C101" i="40"/>
  <c r="C102" i="40"/>
  <c r="C103" i="40"/>
  <c r="C104" i="40"/>
  <c r="C105" i="40"/>
  <c r="C106" i="40"/>
  <c r="C107" i="40"/>
  <c r="C108" i="40"/>
  <c r="C109" i="40"/>
  <c r="C110" i="40"/>
  <c r="C111" i="40"/>
  <c r="C112" i="40"/>
  <c r="C113" i="40"/>
  <c r="C114" i="40"/>
  <c r="C115" i="40"/>
  <c r="C116" i="40"/>
  <c r="C117" i="40"/>
  <c r="C118" i="40"/>
  <c r="C119" i="40"/>
  <c r="C120" i="40"/>
  <c r="C121" i="40"/>
  <c r="C122" i="40"/>
  <c r="C123" i="40"/>
  <c r="C124" i="40"/>
  <c r="C125" i="40"/>
  <c r="C126" i="40"/>
  <c r="C127" i="40"/>
  <c r="C128" i="40"/>
  <c r="C129" i="40"/>
  <c r="C130" i="40"/>
  <c r="C131" i="40"/>
  <c r="C132" i="40"/>
  <c r="C133" i="40"/>
  <c r="C134" i="40"/>
  <c r="C135" i="40"/>
  <c r="C136" i="40"/>
  <c r="C137" i="40"/>
  <c r="C138" i="40"/>
  <c r="C139" i="40"/>
  <c r="C140" i="40"/>
  <c r="C141" i="40"/>
  <c r="C142" i="40"/>
  <c r="C143" i="40"/>
  <c r="C144" i="40"/>
  <c r="C145" i="40"/>
  <c r="C146" i="40"/>
  <c r="C147" i="40"/>
  <c r="C148" i="40"/>
  <c r="C149" i="40"/>
  <c r="C150" i="40"/>
  <c r="C151" i="40"/>
  <c r="C152" i="40"/>
  <c r="C153" i="40"/>
  <c r="C154" i="40"/>
  <c r="C155" i="40"/>
  <c r="C156" i="40"/>
  <c r="C157" i="40"/>
  <c r="C158" i="40"/>
  <c r="C159" i="40"/>
  <c r="C160" i="40"/>
  <c r="C161" i="40"/>
  <c r="C162" i="40"/>
  <c r="C163" i="40"/>
  <c r="C164" i="40"/>
  <c r="C165" i="40"/>
  <c r="C166" i="40"/>
  <c r="C167" i="40"/>
  <c r="C168" i="40"/>
  <c r="C169" i="40"/>
  <c r="C170" i="40"/>
  <c r="C171" i="40"/>
  <c r="C172" i="40"/>
  <c r="C173" i="40"/>
  <c r="C174" i="40"/>
  <c r="C175" i="40"/>
  <c r="C176" i="40"/>
  <c r="C177" i="40"/>
  <c r="C178" i="40"/>
  <c r="C179" i="40"/>
  <c r="C180" i="40"/>
  <c r="C181" i="40"/>
  <c r="C182" i="40"/>
  <c r="C183" i="40"/>
  <c r="C184" i="40"/>
  <c r="C185" i="40"/>
  <c r="C186" i="40"/>
  <c r="C187" i="40"/>
  <c r="C188" i="40"/>
  <c r="C189" i="40"/>
  <c r="C190" i="40"/>
  <c r="C191" i="40"/>
  <c r="C192" i="40"/>
  <c r="C193" i="40"/>
  <c r="C194" i="40"/>
  <c r="C195" i="40"/>
  <c r="C196" i="40"/>
  <c r="C197" i="40"/>
  <c r="C198" i="40"/>
  <c r="C199" i="40"/>
  <c r="C200" i="40"/>
  <c r="C201" i="40"/>
  <c r="C202" i="40"/>
  <c r="C203" i="40"/>
  <c r="C204" i="40"/>
  <c r="C205" i="40"/>
  <c r="C206" i="40"/>
  <c r="C207" i="40"/>
  <c r="C208" i="40"/>
  <c r="C209" i="40"/>
  <c r="C210" i="40"/>
  <c r="C211" i="40"/>
  <c r="C212" i="40"/>
  <c r="C213" i="40"/>
  <c r="C214" i="40"/>
  <c r="C215" i="40"/>
  <c r="C216" i="40"/>
  <c r="C217" i="40"/>
  <c r="C218" i="40"/>
  <c r="C219" i="40"/>
  <c r="C220" i="40"/>
  <c r="C221" i="40"/>
  <c r="C222" i="40"/>
  <c r="C223" i="40"/>
  <c r="C224" i="40"/>
  <c r="C225" i="40"/>
  <c r="C226" i="40"/>
  <c r="C227" i="40"/>
  <c r="C228" i="40"/>
  <c r="C229" i="40"/>
  <c r="C230" i="40"/>
  <c r="C231" i="40"/>
  <c r="C232" i="40"/>
  <c r="C233" i="40"/>
  <c r="C234" i="40"/>
  <c r="C235" i="40"/>
  <c r="C236" i="40"/>
  <c r="C237" i="40"/>
  <c r="C238" i="40"/>
  <c r="C239" i="40"/>
  <c r="C240" i="40"/>
  <c r="C241" i="40"/>
  <c r="C242" i="40"/>
  <c r="C243" i="40"/>
  <c r="C244" i="40"/>
  <c r="C245" i="40"/>
  <c r="C246" i="40"/>
  <c r="C247" i="40"/>
  <c r="C248" i="40"/>
  <c r="C249" i="40"/>
  <c r="C250" i="40"/>
  <c r="C251" i="40"/>
  <c r="C252" i="40"/>
  <c r="C253" i="40"/>
  <c r="C254" i="40"/>
  <c r="C255" i="40"/>
  <c r="C256" i="40"/>
  <c r="C257" i="40"/>
  <c r="C258" i="40"/>
  <c r="C259" i="40"/>
  <c r="C260" i="40"/>
  <c r="C261" i="40"/>
  <c r="C262" i="40"/>
  <c r="C263" i="40"/>
  <c r="C264" i="40"/>
  <c r="C265" i="40"/>
  <c r="C266" i="40"/>
  <c r="C267" i="40"/>
  <c r="C268" i="40"/>
  <c r="C269" i="40"/>
  <c r="C270" i="40"/>
  <c r="C271" i="40"/>
  <c r="C272" i="40"/>
  <c r="C273" i="40"/>
  <c r="C274" i="40"/>
  <c r="C275" i="40"/>
  <c r="C276" i="40"/>
  <c r="C277" i="40"/>
  <c r="C278" i="40"/>
  <c r="C279" i="40"/>
  <c r="C280" i="40"/>
  <c r="C281" i="40"/>
  <c r="C282" i="40"/>
  <c r="C283" i="40"/>
  <c r="C284" i="40"/>
  <c r="C285" i="40"/>
  <c r="C286" i="40"/>
  <c r="C287" i="40"/>
  <c r="C288" i="40"/>
  <c r="C289" i="40"/>
  <c r="C290" i="40"/>
  <c r="C291" i="40"/>
  <c r="C292" i="40"/>
  <c r="C293" i="40"/>
  <c r="C294" i="40"/>
  <c r="C295" i="40"/>
  <c r="C296" i="40"/>
  <c r="C297" i="40"/>
  <c r="C298" i="40"/>
  <c r="C299" i="40"/>
  <c r="C300" i="40"/>
  <c r="C301" i="40"/>
  <c r="C302" i="40"/>
  <c r="C303" i="40"/>
  <c r="C304" i="40"/>
  <c r="C305" i="40"/>
  <c r="C306" i="40"/>
  <c r="C307" i="40"/>
  <c r="C308" i="40"/>
  <c r="C309" i="40"/>
  <c r="C310" i="40"/>
  <c r="C311" i="40"/>
  <c r="C312" i="40"/>
  <c r="C313" i="40"/>
  <c r="C314" i="40"/>
  <c r="C315" i="40"/>
  <c r="C316" i="40"/>
  <c r="C317" i="40"/>
  <c r="C318" i="40"/>
  <c r="C319" i="40"/>
  <c r="C320" i="40"/>
  <c r="C321" i="40"/>
  <c r="C322" i="40"/>
  <c r="C323" i="40"/>
  <c r="C2" i="40"/>
  <c r="H4" i="37"/>
  <c r="H3" i="37"/>
  <c r="G15" i="38"/>
  <c r="H7" i="38"/>
  <c r="H3" i="38"/>
  <c r="K2" i="26" a="1"/>
  <c r="K2" i="26" s="1"/>
  <c r="K3" i="26" a="1"/>
  <c r="K3" i="26" s="1"/>
  <c r="K4" i="26" a="1"/>
  <c r="K4" i="26"/>
  <c r="K5" i="26" a="1"/>
  <c r="K5" i="26"/>
  <c r="K6" i="26" a="1"/>
  <c r="K6" i="26" s="1"/>
  <c r="K7" i="26" a="1"/>
  <c r="K7" i="26"/>
  <c r="K8" i="26" a="1"/>
  <c r="K8" i="26"/>
  <c r="K9" i="26" a="1"/>
  <c r="K9" i="26"/>
  <c r="K10" i="26" a="1"/>
  <c r="K10" i="26" s="1"/>
  <c r="K11" i="26" a="1"/>
  <c r="K11" i="26"/>
  <c r="K12" i="26" a="1"/>
  <c r="K12" i="26"/>
  <c r="K13" i="26" a="1"/>
  <c r="K13" i="26"/>
  <c r="K14" i="26" a="1"/>
  <c r="K14" i="26" s="1"/>
  <c r="K15" i="26" a="1"/>
  <c r="K15" i="26"/>
  <c r="K16" i="26" a="1"/>
  <c r="K16" i="26"/>
  <c r="K17" i="26" a="1"/>
  <c r="K17" i="26"/>
  <c r="K18" i="26" a="1"/>
  <c r="K18" i="26" s="1"/>
  <c r="K19" i="26" a="1"/>
  <c r="K19" i="26"/>
  <c r="K20" i="26" a="1"/>
  <c r="K20" i="26"/>
  <c r="K21" i="26" a="1"/>
  <c r="K21" i="26"/>
  <c r="K22" i="26" a="1"/>
  <c r="K22" i="26" s="1"/>
  <c r="K23" i="26" a="1"/>
  <c r="K23" i="26"/>
  <c r="K24" i="26" a="1"/>
  <c r="K24" i="26"/>
  <c r="K25" i="26" a="1"/>
  <c r="K25" i="26"/>
  <c r="K26" i="26" a="1"/>
  <c r="K26" i="26" s="1"/>
  <c r="K27" i="26" a="1"/>
  <c r="K27" i="26"/>
  <c r="K28" i="26" a="1"/>
  <c r="K28" i="26"/>
  <c r="K29" i="26" a="1"/>
  <c r="K29" i="26"/>
  <c r="K30" i="26" a="1"/>
  <c r="K30" i="26" s="1"/>
  <c r="K31" i="26" a="1"/>
  <c r="K31" i="26"/>
  <c r="K32" i="26" a="1"/>
  <c r="K32" i="26"/>
  <c r="K33" i="26" a="1"/>
  <c r="K33" i="26"/>
  <c r="K34" i="26" a="1"/>
  <c r="K34" i="26" s="1"/>
  <c r="K35" i="26" a="1"/>
  <c r="K35" i="26"/>
  <c r="K36" i="26" a="1"/>
  <c r="K36" i="26"/>
  <c r="K37" i="26" a="1"/>
  <c r="K37" i="26"/>
  <c r="K38" i="26" a="1"/>
  <c r="K38" i="26" s="1"/>
  <c r="K39" i="26" a="1"/>
  <c r="K39" i="26"/>
  <c r="K40" i="26" a="1"/>
  <c r="K40" i="26"/>
  <c r="K41" i="26" a="1"/>
  <c r="K41" i="26"/>
  <c r="K42" i="26" a="1"/>
  <c r="K42" i="26" s="1"/>
  <c r="K43" i="26" a="1"/>
  <c r="K43" i="26" s="1"/>
  <c r="K44" i="26" a="1"/>
  <c r="K44" i="26"/>
  <c r="K45" i="26" a="1"/>
  <c r="K45" i="26"/>
  <c r="K46" i="26" a="1"/>
  <c r="K46" i="26" s="1"/>
  <c r="K47" i="26" a="1"/>
  <c r="K47" i="26" s="1"/>
  <c r="K48" i="26" a="1"/>
  <c r="K48" i="26"/>
  <c r="K49" i="26" a="1"/>
  <c r="K49" i="26"/>
  <c r="K50" i="26" a="1"/>
  <c r="K50" i="26" s="1"/>
  <c r="K51" i="26" a="1"/>
  <c r="K51" i="26" s="1"/>
  <c r="K52" i="26" a="1"/>
  <c r="K52" i="26"/>
  <c r="K53" i="26" a="1"/>
  <c r="K53" i="26"/>
  <c r="K54" i="26" a="1"/>
  <c r="K54" i="26" s="1"/>
  <c r="K55" i="26" a="1"/>
  <c r="K55" i="26" s="1"/>
  <c r="K56" i="26" a="1"/>
  <c r="K56" i="26"/>
  <c r="K57" i="26" a="1"/>
  <c r="K57" i="26"/>
  <c r="K58" i="26" a="1"/>
  <c r="K58" i="26" s="1"/>
  <c r="K59" i="26" a="1"/>
  <c r="K59" i="26" s="1"/>
  <c r="K60" i="26" a="1"/>
  <c r="K60" i="26"/>
  <c r="K61" i="26" a="1"/>
  <c r="K61" i="26"/>
  <c r="K62" i="26" a="1"/>
  <c r="K62" i="26" s="1"/>
  <c r="K63" i="26" a="1"/>
  <c r="K63" i="26" s="1"/>
  <c r="K64" i="26" a="1"/>
  <c r="K64" i="26"/>
  <c r="K65" i="26" a="1"/>
  <c r="K65" i="26"/>
  <c r="K66" i="26" a="1"/>
  <c r="K66" i="26" s="1"/>
  <c r="K67" i="26" a="1"/>
  <c r="K67" i="26" s="1"/>
  <c r="K68" i="26" a="1"/>
  <c r="K68" i="26"/>
  <c r="K69" i="26" a="1"/>
  <c r="K69" i="26"/>
  <c r="K70" i="26" a="1"/>
  <c r="K70" i="26" s="1"/>
  <c r="K71" i="26" a="1"/>
  <c r="K71" i="26" s="1"/>
  <c r="K72" i="26" a="1"/>
  <c r="K72" i="26"/>
  <c r="K73" i="26" a="1"/>
  <c r="K73" i="26"/>
  <c r="K74" i="26" a="1"/>
  <c r="K74" i="26" s="1"/>
  <c r="K75" i="26" a="1"/>
  <c r="K75" i="26" s="1"/>
  <c r="K76" i="26" a="1"/>
  <c r="K76" i="26"/>
  <c r="K77" i="26" a="1"/>
  <c r="K77" i="26"/>
  <c r="K78" i="26" a="1"/>
  <c r="K78" i="26" s="1"/>
  <c r="K79" i="26" a="1"/>
  <c r="K79" i="26" s="1"/>
  <c r="K80" i="26" a="1"/>
  <c r="K80" i="26"/>
  <c r="K81" i="26" a="1"/>
  <c r="K81" i="26"/>
  <c r="K82" i="26" a="1"/>
  <c r="K82" i="26" s="1"/>
  <c r="K83" i="26" a="1"/>
  <c r="K83" i="26" s="1"/>
  <c r="K84" i="26" a="1"/>
  <c r="K84" i="26"/>
  <c r="K85" i="26" a="1"/>
  <c r="K85" i="26"/>
  <c r="K86" i="26" a="1"/>
  <c r="K86" i="26" s="1"/>
  <c r="K87" i="26" a="1"/>
  <c r="K87" i="26" s="1"/>
  <c r="K88" i="26" a="1"/>
  <c r="K88" i="26"/>
  <c r="K89" i="26" a="1"/>
  <c r="K89" i="26"/>
  <c r="K90" i="26" a="1"/>
  <c r="K90" i="26" s="1"/>
  <c r="K91" i="26" a="1"/>
  <c r="K91" i="26" s="1"/>
  <c r="K92" i="26" a="1"/>
  <c r="K92" i="26"/>
  <c r="K93" i="26" a="1"/>
  <c r="K93" i="26"/>
  <c r="K94" i="26" a="1"/>
  <c r="K94" i="26" s="1"/>
  <c r="K95" i="26" a="1"/>
  <c r="K95" i="26" s="1"/>
  <c r="K96" i="26" a="1"/>
  <c r="K96" i="26"/>
  <c r="K97" i="26" a="1"/>
  <c r="K97" i="26"/>
  <c r="K98" i="26" a="1"/>
  <c r="K98" i="26" s="1"/>
  <c r="K99" i="26" a="1"/>
  <c r="K99" i="26" s="1"/>
  <c r="K100" i="26" a="1"/>
  <c r="K100" i="26"/>
  <c r="K101" i="26" a="1"/>
  <c r="K101" i="26"/>
  <c r="K102" i="26" a="1"/>
  <c r="K102" i="26" s="1"/>
  <c r="K103" i="26" a="1"/>
  <c r="K103" i="26" s="1"/>
  <c r="K104" i="26" a="1"/>
  <c r="K104" i="26"/>
  <c r="K105" i="26" a="1"/>
  <c r="K105" i="26"/>
  <c r="K106" i="26" a="1"/>
  <c r="K106" i="26" s="1"/>
  <c r="K107" i="26" a="1"/>
  <c r="K107" i="26" s="1"/>
  <c r="K108" i="26" a="1"/>
  <c r="K108" i="26"/>
  <c r="K109" i="26" a="1"/>
  <c r="K109" i="26"/>
  <c r="K110" i="26" a="1"/>
  <c r="K110" i="26" s="1"/>
  <c r="K111" i="26" a="1"/>
  <c r="K111" i="26" s="1"/>
  <c r="K112" i="26" a="1"/>
  <c r="K112" i="26"/>
  <c r="K113" i="26" a="1"/>
  <c r="K113" i="26"/>
  <c r="K114" i="26" a="1"/>
  <c r="K114" i="26" s="1"/>
  <c r="K115" i="26" a="1"/>
  <c r="K115" i="26" s="1"/>
  <c r="K116" i="26" a="1"/>
  <c r="K116" i="26"/>
  <c r="K117" i="26" a="1"/>
  <c r="K117" i="26"/>
  <c r="K118" i="26" a="1"/>
  <c r="K118" i="26" s="1"/>
  <c r="K119" i="26" a="1"/>
  <c r="K119" i="26" s="1"/>
  <c r="K120" i="26" a="1"/>
  <c r="K120" i="26"/>
  <c r="K121" i="26" a="1"/>
  <c r="K121" i="26"/>
  <c r="K122" i="26" a="1"/>
  <c r="K122" i="26" s="1"/>
  <c r="K123" i="26" a="1"/>
  <c r="K123" i="26" s="1"/>
  <c r="K124" i="26" a="1"/>
  <c r="K124" i="26"/>
  <c r="K125" i="26" a="1"/>
  <c r="K125" i="26"/>
  <c r="K126" i="26" a="1"/>
  <c r="K126" i="26" s="1"/>
  <c r="K127" i="26" a="1"/>
  <c r="K127" i="26" s="1"/>
  <c r="K128" i="26" a="1"/>
  <c r="K128" i="26"/>
  <c r="K129" i="26" a="1"/>
  <c r="K129" i="26"/>
  <c r="K130" i="26" a="1"/>
  <c r="K130" i="26" s="1"/>
  <c r="K131" i="26" a="1"/>
  <c r="K131" i="26" s="1"/>
  <c r="K132" i="26" a="1"/>
  <c r="K132" i="26"/>
  <c r="K133" i="26" a="1"/>
  <c r="K133" i="26"/>
  <c r="K134" i="26" a="1"/>
  <c r="K134" i="26" s="1"/>
  <c r="K135" i="26" a="1"/>
  <c r="K135" i="26" s="1"/>
  <c r="K136" i="26" a="1"/>
  <c r="K136" i="26"/>
  <c r="K137" i="26" a="1"/>
  <c r="K137" i="26"/>
  <c r="K138" i="26" a="1"/>
  <c r="K138" i="26" s="1"/>
  <c r="K139" i="26" a="1"/>
  <c r="K139" i="26" s="1"/>
  <c r="K140" i="26" a="1"/>
  <c r="K140" i="26"/>
  <c r="K141" i="26" a="1"/>
  <c r="K141" i="26"/>
  <c r="K142" i="26" a="1"/>
  <c r="K142" i="26" s="1"/>
  <c r="K143" i="26" a="1"/>
  <c r="K143" i="26" s="1"/>
  <c r="K144" i="26" a="1"/>
  <c r="K144" i="26"/>
  <c r="K145" i="26" a="1"/>
  <c r="K145" i="26"/>
  <c r="K146" i="26" a="1"/>
  <c r="K146" i="26" s="1"/>
  <c r="K147" i="26" a="1"/>
  <c r="K147" i="26" s="1"/>
  <c r="K148" i="26" a="1"/>
  <c r="K148" i="26"/>
  <c r="K149" i="26" a="1"/>
  <c r="K149" i="26"/>
  <c r="K150" i="26" a="1"/>
  <c r="K150" i="26" s="1"/>
  <c r="K151" i="26" a="1"/>
  <c r="K151" i="26" s="1"/>
  <c r="K152" i="26" a="1"/>
  <c r="K152" i="26"/>
  <c r="K153" i="26" a="1"/>
  <c r="K153" i="26"/>
  <c r="K154" i="26" a="1"/>
  <c r="K154" i="26" s="1"/>
  <c r="K155" i="26" a="1"/>
  <c r="K155" i="26" s="1"/>
  <c r="K156" i="26" a="1"/>
  <c r="K156" i="26"/>
  <c r="K157" i="26" a="1"/>
  <c r="K157" i="26"/>
  <c r="K158" i="26" a="1"/>
  <c r="K158" i="26" s="1"/>
  <c r="K159" i="26" a="1"/>
  <c r="K159" i="26" s="1"/>
  <c r="K160" i="26" a="1"/>
  <c r="K160" i="26"/>
  <c r="K161" i="26" a="1"/>
  <c r="K161" i="26"/>
  <c r="K162" i="26" a="1"/>
  <c r="K162" i="26" s="1"/>
  <c r="K163" i="26" a="1"/>
  <c r="K163" i="26" s="1"/>
  <c r="K164" i="26" a="1"/>
  <c r="K164" i="26"/>
  <c r="K165" i="26" a="1"/>
  <c r="K165" i="26"/>
  <c r="K166" i="26" a="1"/>
  <c r="K166" i="26" s="1"/>
  <c r="K167" i="26" a="1"/>
  <c r="K167" i="26" s="1"/>
  <c r="K168" i="26" a="1"/>
  <c r="K168" i="26"/>
  <c r="K169" i="26" a="1"/>
  <c r="K169" i="26"/>
  <c r="K170" i="26" a="1"/>
  <c r="K170" i="26" s="1"/>
  <c r="K171" i="26" a="1"/>
  <c r="K171" i="26" s="1"/>
  <c r="K172" i="26" a="1"/>
  <c r="K172" i="26"/>
  <c r="K173" i="26" a="1"/>
  <c r="K173" i="26"/>
  <c r="K174" i="26" a="1"/>
  <c r="K174" i="26" s="1"/>
  <c r="K175" i="26" a="1"/>
  <c r="K175" i="26" s="1"/>
  <c r="K176" i="26" a="1"/>
  <c r="K176" i="26"/>
  <c r="K177" i="26" a="1"/>
  <c r="K177" i="26"/>
  <c r="K178" i="26" a="1"/>
  <c r="K178" i="26" s="1"/>
  <c r="K179" i="26" a="1"/>
  <c r="K179" i="26" s="1"/>
  <c r="K180" i="26" a="1"/>
  <c r="K180" i="26"/>
  <c r="K181" i="26" a="1"/>
  <c r="K181" i="26"/>
  <c r="K182" i="26" a="1"/>
  <c r="K182" i="26" s="1"/>
  <c r="K183" i="26" a="1"/>
  <c r="K183" i="26" s="1"/>
  <c r="K184" i="26" a="1"/>
  <c r="K184" i="26"/>
  <c r="K185" i="26" a="1"/>
  <c r="K185" i="26"/>
  <c r="K186" i="26" a="1"/>
  <c r="K186" i="26" s="1"/>
  <c r="K187" i="26" a="1"/>
  <c r="K187" i="26" s="1"/>
  <c r="K188" i="26" a="1"/>
  <c r="K188" i="26"/>
  <c r="K189" i="26" a="1"/>
  <c r="K189" i="26"/>
  <c r="K190" i="26" a="1"/>
  <c r="K190" i="26" s="1"/>
  <c r="K191" i="26" a="1"/>
  <c r="K191" i="26" s="1"/>
  <c r="K192" i="26" a="1"/>
  <c r="K192" i="26"/>
  <c r="K193" i="26" a="1"/>
  <c r="K193" i="26"/>
  <c r="K194" i="26" a="1"/>
  <c r="K194" i="26" s="1"/>
  <c r="K195" i="26" a="1"/>
  <c r="K195" i="26" s="1"/>
  <c r="K196" i="26" a="1"/>
  <c r="K196" i="26"/>
  <c r="K197" i="26" a="1"/>
  <c r="K197" i="26"/>
  <c r="K198" i="26" a="1"/>
  <c r="K198" i="26" s="1"/>
  <c r="K199" i="26" a="1"/>
  <c r="K199" i="26" s="1"/>
  <c r="K200" i="26" a="1"/>
  <c r="K200" i="26"/>
  <c r="K201" i="26" a="1"/>
  <c r="K201" i="26"/>
  <c r="K202" i="26" a="1"/>
  <c r="K202" i="26" s="1"/>
  <c r="K203" i="26" a="1"/>
  <c r="K203" i="26" s="1"/>
  <c r="K204" i="26" a="1"/>
  <c r="K204" i="26"/>
  <c r="K205" i="26" a="1"/>
  <c r="K205" i="26"/>
  <c r="K206" i="26" a="1"/>
  <c r="K206" i="26" s="1"/>
  <c r="K207" i="26" a="1"/>
  <c r="K207" i="26" s="1"/>
  <c r="K208" i="26" a="1"/>
  <c r="K208" i="26"/>
  <c r="K209" i="26" a="1"/>
  <c r="K209" i="26"/>
  <c r="K210" i="26" a="1"/>
  <c r="K210" i="26" s="1"/>
  <c r="K211" i="26" a="1"/>
  <c r="K211" i="26" s="1"/>
  <c r="K212" i="26" a="1"/>
  <c r="K212" i="26"/>
  <c r="K213" i="26" a="1"/>
  <c r="K213" i="26"/>
  <c r="K214" i="26" a="1"/>
  <c r="K214" i="26" s="1"/>
  <c r="K215" i="26" a="1"/>
  <c r="K215" i="26" s="1"/>
  <c r="K216" i="26" a="1"/>
  <c r="K216" i="26"/>
  <c r="K217" i="26" a="1"/>
  <c r="K217" i="26"/>
  <c r="K218" i="26" a="1"/>
  <c r="K218" i="26" s="1"/>
  <c r="K219" i="26" a="1"/>
  <c r="K219" i="26" s="1"/>
  <c r="K220" i="26" a="1"/>
  <c r="K220" i="26"/>
  <c r="K221" i="26" a="1"/>
  <c r="K221" i="26"/>
  <c r="K222" i="26" a="1"/>
  <c r="K222" i="26" s="1"/>
  <c r="K223" i="26" a="1"/>
  <c r="K223" i="26" s="1"/>
  <c r="K224" i="26" a="1"/>
  <c r="K224" i="26"/>
  <c r="K225" i="26" a="1"/>
  <c r="K225" i="26"/>
  <c r="K226" i="26" a="1"/>
  <c r="K226" i="26" s="1"/>
  <c r="K227" i="26" a="1"/>
  <c r="K227" i="26" s="1"/>
  <c r="K228" i="26" a="1"/>
  <c r="K228" i="26"/>
  <c r="K229" i="26" a="1"/>
  <c r="K229" i="26"/>
  <c r="K230" i="26" a="1"/>
  <c r="K230" i="26" s="1"/>
  <c r="K231" i="26" a="1"/>
  <c r="K231" i="26" s="1"/>
  <c r="K232" i="26" a="1"/>
  <c r="K232" i="26"/>
  <c r="K233" i="26" a="1"/>
  <c r="K233" i="26"/>
  <c r="K234" i="26" a="1"/>
  <c r="K234" i="26" s="1"/>
  <c r="K235" i="26" a="1"/>
  <c r="K235" i="26" s="1"/>
  <c r="K236" i="26" a="1"/>
  <c r="K236" i="26"/>
  <c r="K237" i="26" a="1"/>
  <c r="K237" i="26"/>
  <c r="K238" i="26" a="1"/>
  <c r="K238" i="26" s="1"/>
  <c r="K239" i="26" a="1"/>
  <c r="K239" i="26" s="1"/>
  <c r="K240" i="26" a="1"/>
  <c r="K240" i="26"/>
  <c r="K241" i="26" a="1"/>
  <c r="K241" i="26"/>
  <c r="K242" i="26" a="1"/>
  <c r="K242" i="26" s="1"/>
  <c r="K243" i="26" a="1"/>
  <c r="K243" i="26" s="1"/>
  <c r="K244" i="26" a="1"/>
  <c r="K244" i="26"/>
  <c r="K245" i="26" a="1"/>
  <c r="K245" i="26"/>
  <c r="K246" i="26" a="1"/>
  <c r="K246" i="26" s="1"/>
  <c r="K247" i="26" a="1"/>
  <c r="K247" i="26" s="1"/>
  <c r="K248" i="26" a="1"/>
  <c r="K248" i="26"/>
  <c r="K249" i="26" a="1"/>
  <c r="K249" i="26"/>
  <c r="K250" i="26" a="1"/>
  <c r="K250" i="26" s="1"/>
  <c r="K251" i="26" a="1"/>
  <c r="K251" i="26" s="1"/>
  <c r="K252" i="26" a="1"/>
  <c r="K252" i="26"/>
  <c r="K253" i="26" a="1"/>
  <c r="K253" i="26"/>
  <c r="K254" i="26" a="1"/>
  <c r="K254" i="26" s="1"/>
  <c r="K255" i="26" a="1"/>
  <c r="K255" i="26" s="1"/>
  <c r="K256" i="26" a="1"/>
  <c r="K256" i="26"/>
  <c r="K257" i="26" a="1"/>
  <c r="K257" i="26"/>
  <c r="K258" i="26" a="1"/>
  <c r="K258" i="26" s="1"/>
  <c r="K259" i="26" a="1"/>
  <c r="K259" i="26" s="1"/>
  <c r="K260" i="26" a="1"/>
  <c r="K260" i="26"/>
  <c r="K261" i="26" a="1"/>
  <c r="K261" i="26"/>
  <c r="K262" i="26" a="1"/>
  <c r="K262" i="26" s="1"/>
  <c r="K263" i="26" a="1"/>
  <c r="K263" i="26" s="1"/>
  <c r="K264" i="26" a="1"/>
  <c r="K264" i="26"/>
  <c r="K265" i="26" a="1"/>
  <c r="K265" i="26"/>
  <c r="K266" i="26" a="1"/>
  <c r="K266" i="26" s="1"/>
  <c r="K267" i="26" a="1"/>
  <c r="K267" i="26" s="1"/>
  <c r="K268" i="26" a="1"/>
  <c r="K268" i="26"/>
  <c r="K269" i="26" a="1"/>
  <c r="K269" i="26"/>
  <c r="K270" i="26" a="1"/>
  <c r="K270" i="26" s="1"/>
  <c r="K271" i="26" a="1"/>
  <c r="K271" i="26" s="1"/>
  <c r="K272" i="26" a="1"/>
  <c r="K272" i="26"/>
  <c r="K273" i="26" a="1"/>
  <c r="K273" i="26"/>
  <c r="K274" i="26" a="1"/>
  <c r="K274" i="26" s="1"/>
  <c r="K275" i="26" a="1"/>
  <c r="K275" i="26" s="1"/>
  <c r="K276" i="26" a="1"/>
  <c r="K276" i="26"/>
  <c r="K277" i="26" a="1"/>
  <c r="K277" i="26"/>
  <c r="K278" i="26" a="1"/>
  <c r="K278" i="26" s="1"/>
  <c r="K279" i="26" a="1"/>
  <c r="K279" i="26" s="1"/>
  <c r="K280" i="26" a="1"/>
  <c r="K280" i="26"/>
  <c r="K281" i="26" a="1"/>
  <c r="K281" i="26"/>
  <c r="K282" i="26" a="1"/>
  <c r="K282" i="26" s="1"/>
  <c r="K283" i="26" a="1"/>
  <c r="K283" i="26" s="1"/>
  <c r="K284" i="26" a="1"/>
  <c r="K284" i="26"/>
  <c r="K285" i="26" a="1"/>
  <c r="K285" i="26"/>
  <c r="K286" i="26" a="1"/>
  <c r="K286" i="26" s="1"/>
  <c r="K287" i="26" a="1"/>
  <c r="K287" i="26" s="1"/>
  <c r="K288" i="26" a="1"/>
  <c r="K288" i="26"/>
  <c r="K289" i="26" a="1"/>
  <c r="K289" i="26"/>
  <c r="K290" i="26" a="1"/>
  <c r="K290" i="26" s="1"/>
  <c r="K291" i="26" a="1"/>
  <c r="K291" i="26" s="1"/>
  <c r="K292" i="26" a="1"/>
  <c r="K292" i="26"/>
  <c r="K293" i="26" a="1"/>
  <c r="K293" i="26"/>
  <c r="K294" i="26" a="1"/>
  <c r="K294" i="26" s="1"/>
  <c r="K295" i="26" a="1"/>
  <c r="K295" i="26" s="1"/>
  <c r="K296" i="26" a="1"/>
  <c r="K296" i="26"/>
  <c r="K297" i="26" a="1"/>
  <c r="K297" i="26"/>
  <c r="K298" i="26" a="1"/>
  <c r="K298" i="26" s="1"/>
  <c r="K299" i="26" a="1"/>
  <c r="K299" i="26" s="1"/>
  <c r="K300" i="26" a="1"/>
  <c r="K300" i="26"/>
  <c r="K301" i="26" a="1"/>
  <c r="K301" i="26"/>
  <c r="K302" i="26" a="1"/>
  <c r="K302" i="26" s="1"/>
  <c r="K303" i="26" a="1"/>
  <c r="K303" i="26" s="1"/>
  <c r="K304" i="26" a="1"/>
  <c r="K304" i="26"/>
  <c r="K305" i="26" a="1"/>
  <c r="K305" i="26"/>
  <c r="K306" i="26" a="1"/>
  <c r="K306" i="26" s="1"/>
  <c r="K307" i="26" a="1"/>
  <c r="K307" i="26" s="1"/>
  <c r="K308" i="26" a="1"/>
  <c r="K308" i="26"/>
  <c r="K309" i="26" a="1"/>
  <c r="K309" i="26"/>
  <c r="K310" i="26" a="1"/>
  <c r="K310" i="26" s="1"/>
  <c r="K311" i="26" a="1"/>
  <c r="K311" i="26" s="1"/>
  <c r="K312" i="26" a="1"/>
  <c r="K312" i="26"/>
  <c r="K313" i="26" a="1"/>
  <c r="K313" i="26"/>
  <c r="K314" i="26" a="1"/>
  <c r="K314" i="26" s="1"/>
  <c r="K315" i="26" a="1"/>
  <c r="K315" i="26" s="1"/>
  <c r="K316" i="26" a="1"/>
  <c r="K316" i="26"/>
  <c r="K317" i="26" a="1"/>
  <c r="K317" i="26"/>
  <c r="K318" i="26" a="1"/>
  <c r="K318" i="26" s="1"/>
  <c r="K319" i="26" a="1"/>
  <c r="K319" i="26" s="1"/>
  <c r="K320" i="26" a="1"/>
  <c r="K320" i="26"/>
  <c r="K321" i="26" a="1"/>
  <c r="K321" i="26"/>
  <c r="K322" i="26" a="1"/>
  <c r="K322" i="26" s="1"/>
  <c r="K323" i="26" a="1"/>
  <c r="K323" i="26" s="1"/>
  <c r="K324" i="26" a="1"/>
  <c r="K324" i="26"/>
  <c r="H4" i="26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" i="26"/>
  <c r="E3" i="27"/>
  <c r="H11" i="24" l="1"/>
  <c r="H28" i="24"/>
  <c r="H27" i="24"/>
  <c r="H26" i="24"/>
  <c r="H25" i="24"/>
  <c r="H24" i="24"/>
  <c r="H23" i="24"/>
  <c r="H22" i="24"/>
  <c r="H21" i="24"/>
  <c r="H20" i="24"/>
  <c r="H19" i="24"/>
  <c r="H18" i="24"/>
  <c r="H17" i="24"/>
  <c r="H16" i="24"/>
  <c r="H15" i="24"/>
  <c r="H14" i="24"/>
  <c r="H13" i="24"/>
  <c r="H12" i="24"/>
  <c r="H3" i="27" l="1" a="1"/>
  <c r="H3" i="27" s="1"/>
  <c r="H4" i="27" a="1"/>
  <c r="H4" i="27" s="1"/>
  <c r="H5" i="27" a="1"/>
  <c r="H5" i="27" s="1"/>
  <c r="H6" i="27" a="1"/>
  <c r="H6" i="27" s="1"/>
  <c r="H7" i="27" a="1"/>
  <c r="H7" i="27" s="1"/>
  <c r="H8" i="27" a="1"/>
  <c r="H8" i="27" s="1"/>
  <c r="H9" i="27" a="1"/>
  <c r="H9" i="27" s="1"/>
  <c r="H10" i="27" a="1"/>
  <c r="H10" i="27" s="1"/>
  <c r="H11" i="27" a="1"/>
  <c r="H11" i="27" s="1"/>
  <c r="H12" i="27" a="1"/>
  <c r="H12" i="27" s="1"/>
  <c r="H13" i="27" a="1"/>
  <c r="H13" i="27" s="1"/>
  <c r="H14" i="27" a="1"/>
  <c r="H14" i="27" s="1"/>
  <c r="H15" i="27" a="1"/>
  <c r="H15" i="27" s="1"/>
  <c r="H16" i="27" a="1"/>
  <c r="H16" i="27" s="1"/>
  <c r="H17" i="27" a="1"/>
  <c r="H17" i="27" s="1"/>
  <c r="H18" i="27" a="1"/>
  <c r="H18" i="27" s="1"/>
  <c r="H19" i="27" a="1"/>
  <c r="H19" i="27" s="1"/>
  <c r="H20" i="27" a="1"/>
  <c r="H20" i="27" s="1"/>
  <c r="H21" i="27" a="1"/>
  <c r="H21" i="27" s="1"/>
  <c r="H22" i="27" a="1"/>
  <c r="H22" i="27" s="1"/>
  <c r="H23" i="27" a="1"/>
  <c r="H23" i="27" s="1"/>
  <c r="H24" i="27" a="1"/>
  <c r="H24" i="27" s="1"/>
  <c r="H25" i="27" a="1"/>
  <c r="H25" i="27" s="1"/>
  <c r="H26" i="27" a="1"/>
  <c r="H26" i="27" s="1"/>
  <c r="H27" i="27" a="1"/>
  <c r="H27" i="27" s="1"/>
  <c r="H28" i="27" a="1"/>
  <c r="H28" i="27" s="1"/>
  <c r="H29" i="27" a="1"/>
  <c r="H29" i="27" s="1"/>
  <c r="H30" i="27" a="1"/>
  <c r="H30" i="27" s="1"/>
  <c r="H31" i="27" a="1"/>
  <c r="H31" i="27" s="1"/>
  <c r="H32" i="27" a="1"/>
  <c r="H32" i="27" s="1"/>
  <c r="H33" i="27" a="1"/>
  <c r="H33" i="27" s="1"/>
  <c r="H34" i="27" a="1"/>
  <c r="H34" i="27" s="1"/>
  <c r="H35" i="27" a="1"/>
  <c r="H35" i="27" s="1"/>
  <c r="H36" i="27" a="1"/>
  <c r="H36" i="27" s="1"/>
  <c r="H37" i="27" a="1"/>
  <c r="H37" i="27" s="1"/>
  <c r="H38" i="27" a="1"/>
  <c r="H38" i="27" s="1"/>
  <c r="H39" i="27" a="1"/>
  <c r="H39" i="27" s="1"/>
  <c r="H40" i="27" a="1"/>
  <c r="H40" i="27" s="1"/>
  <c r="H41" i="27" a="1"/>
  <c r="H41" i="27" s="1"/>
  <c r="H42" i="27" a="1"/>
  <c r="H42" i="27" s="1"/>
  <c r="H43" i="27" a="1"/>
  <c r="H43" i="27" s="1"/>
  <c r="H44" i="27" a="1"/>
  <c r="H44" i="27" s="1"/>
  <c r="H45" i="27" a="1"/>
  <c r="H45" i="27" s="1"/>
  <c r="H46" i="27" a="1"/>
  <c r="H46" i="27" s="1"/>
  <c r="H47" i="27" a="1"/>
  <c r="H47" i="27" s="1"/>
  <c r="H48" i="27" a="1"/>
  <c r="H48" i="27" s="1"/>
  <c r="H49" i="27" a="1"/>
  <c r="H49" i="27" s="1"/>
  <c r="H50" i="27" a="1"/>
  <c r="H50" i="27" s="1"/>
  <c r="H51" i="27" a="1"/>
  <c r="H51" i="27" s="1"/>
  <c r="H52" i="27" a="1"/>
  <c r="H52" i="27" s="1"/>
  <c r="H53" i="27" a="1"/>
  <c r="H53" i="27" s="1"/>
  <c r="H54" i="27" a="1"/>
  <c r="H54" i="27" s="1"/>
  <c r="H55" i="27" a="1"/>
  <c r="H55" i="27" s="1"/>
  <c r="H56" i="27" a="1"/>
  <c r="H56" i="27" s="1"/>
  <c r="H57" i="27" a="1"/>
  <c r="H57" i="27" s="1"/>
  <c r="H58" i="27" a="1"/>
  <c r="H58" i="27" s="1"/>
  <c r="H59" i="27" a="1"/>
  <c r="H59" i="27" s="1"/>
  <c r="H60" i="27" a="1"/>
  <c r="H60" i="27" s="1"/>
  <c r="H61" i="27" a="1"/>
  <c r="H61" i="27" s="1"/>
  <c r="H62" i="27" a="1"/>
  <c r="H62" i="27" s="1"/>
  <c r="H63" i="27" a="1"/>
  <c r="H63" i="27" s="1"/>
  <c r="H64" i="27" a="1"/>
  <c r="H64" i="27" s="1"/>
  <c r="H65" i="27" a="1"/>
  <c r="H65" i="27" s="1"/>
  <c r="H66" i="27" a="1"/>
  <c r="H66" i="27" s="1"/>
  <c r="H67" i="27" a="1"/>
  <c r="H67" i="27" s="1"/>
  <c r="H68" i="27" a="1"/>
  <c r="H68" i="27" s="1"/>
  <c r="H69" i="27" a="1"/>
  <c r="H69" i="27" s="1"/>
  <c r="H70" i="27" a="1"/>
  <c r="H70" i="27" s="1"/>
  <c r="H71" i="27" a="1"/>
  <c r="H71" i="27" s="1"/>
  <c r="H72" i="27" a="1"/>
  <c r="H72" i="27" s="1"/>
  <c r="H73" i="27" a="1"/>
  <c r="H73" i="27" s="1"/>
  <c r="H74" i="27" a="1"/>
  <c r="H74" i="27" s="1"/>
  <c r="H75" i="27" a="1"/>
  <c r="H75" i="27" s="1"/>
  <c r="H76" i="27" a="1"/>
  <c r="H76" i="27" s="1"/>
  <c r="H77" i="27" a="1"/>
  <c r="H77" i="27" s="1"/>
  <c r="H78" i="27" a="1"/>
  <c r="H78" i="27" s="1"/>
  <c r="H79" i="27" a="1"/>
  <c r="H79" i="27" s="1"/>
  <c r="H80" i="27" a="1"/>
  <c r="H80" i="27" s="1"/>
  <c r="H81" i="27" a="1"/>
  <c r="H81" i="27" s="1"/>
  <c r="H82" i="27" a="1"/>
  <c r="H82" i="27" s="1"/>
  <c r="H83" i="27" a="1"/>
  <c r="H83" i="27" s="1"/>
  <c r="H84" i="27" a="1"/>
  <c r="H84" i="27" s="1"/>
  <c r="H85" i="27" a="1"/>
  <c r="H85" i="27" s="1"/>
  <c r="H86" i="27" a="1"/>
  <c r="H86" i="27" s="1"/>
  <c r="H87" i="27" a="1"/>
  <c r="H87" i="27" s="1"/>
  <c r="H88" i="27" a="1"/>
  <c r="H88" i="27" s="1"/>
  <c r="H89" i="27" a="1"/>
  <c r="H89" i="27" s="1"/>
  <c r="H90" i="27" a="1"/>
  <c r="H90" i="27" s="1"/>
  <c r="H91" i="27" a="1"/>
  <c r="H91" i="27" s="1"/>
  <c r="H92" i="27" a="1"/>
  <c r="H92" i="27" s="1"/>
  <c r="H93" i="27" a="1"/>
  <c r="H93" i="27" s="1"/>
  <c r="H94" i="27" a="1"/>
  <c r="H94" i="27" s="1"/>
  <c r="H95" i="27" a="1"/>
  <c r="H95" i="27" s="1"/>
  <c r="H96" i="27" a="1"/>
  <c r="H96" i="27" s="1"/>
  <c r="H97" i="27" a="1"/>
  <c r="H97" i="27" s="1"/>
  <c r="H98" i="27" a="1"/>
  <c r="H98" i="27" s="1"/>
  <c r="H99" i="27" a="1"/>
  <c r="H99" i="27" s="1"/>
  <c r="H100" i="27" a="1"/>
  <c r="H100" i="27" s="1"/>
  <c r="H101" i="27" a="1"/>
  <c r="H101" i="27" s="1"/>
  <c r="H102" i="27" a="1"/>
  <c r="H102" i="27" s="1"/>
  <c r="H103" i="27" a="1"/>
  <c r="H103" i="27" s="1"/>
  <c r="H104" i="27" a="1"/>
  <c r="H104" i="27" s="1"/>
  <c r="H105" i="27" a="1"/>
  <c r="H105" i="27" s="1"/>
  <c r="H106" i="27" a="1"/>
  <c r="H106" i="27" s="1"/>
  <c r="H107" i="27" a="1"/>
  <c r="H107" i="27" s="1"/>
  <c r="H108" i="27" a="1"/>
  <c r="H108" i="27" s="1"/>
  <c r="H109" i="27" a="1"/>
  <c r="H109" i="27" s="1"/>
  <c r="H110" i="27" a="1"/>
  <c r="H110" i="27" s="1"/>
  <c r="H111" i="27" a="1"/>
  <c r="H111" i="27" s="1"/>
  <c r="H112" i="27" a="1"/>
  <c r="H112" i="27" s="1"/>
  <c r="H113" i="27" a="1"/>
  <c r="H113" i="27" s="1"/>
  <c r="H114" i="27" a="1"/>
  <c r="H114" i="27" s="1"/>
  <c r="H115" i="27" a="1"/>
  <c r="H115" i="27" s="1"/>
  <c r="H116" i="27" a="1"/>
  <c r="H116" i="27" s="1"/>
  <c r="H117" i="27" a="1"/>
  <c r="H117" i="27" s="1"/>
  <c r="H118" i="27" a="1"/>
  <c r="H118" i="27" s="1"/>
  <c r="H119" i="27" a="1"/>
  <c r="H119" i="27" s="1"/>
  <c r="H120" i="27" a="1"/>
  <c r="H120" i="27" s="1"/>
  <c r="H121" i="27" a="1"/>
  <c r="H121" i="27" s="1"/>
  <c r="H122" i="27" a="1"/>
  <c r="H122" i="27" s="1"/>
  <c r="H123" i="27" a="1"/>
  <c r="H123" i="27" s="1"/>
  <c r="H124" i="27" a="1"/>
  <c r="H124" i="27" s="1"/>
  <c r="H125" i="27" a="1"/>
  <c r="H125" i="27" s="1"/>
  <c r="H126" i="27" a="1"/>
  <c r="H126" i="27" s="1"/>
  <c r="H127" i="27" a="1"/>
  <c r="H127" i="27" s="1"/>
  <c r="H128" i="27" a="1"/>
  <c r="H128" i="27" s="1"/>
  <c r="H129" i="27" a="1"/>
  <c r="H129" i="27" s="1"/>
  <c r="H130" i="27" a="1"/>
  <c r="H130" i="27" s="1"/>
  <c r="H131" i="27" a="1"/>
  <c r="H131" i="27" s="1"/>
  <c r="H132" i="27" a="1"/>
  <c r="H132" i="27" s="1"/>
  <c r="H133" i="27" a="1"/>
  <c r="H133" i="27" s="1"/>
  <c r="H134" i="27" a="1"/>
  <c r="H134" i="27" s="1"/>
  <c r="H135" i="27" a="1"/>
  <c r="H135" i="27" s="1"/>
  <c r="H136" i="27" a="1"/>
  <c r="H136" i="27" s="1"/>
  <c r="H137" i="27" a="1"/>
  <c r="H137" i="27" s="1"/>
  <c r="H138" i="27" a="1"/>
  <c r="H138" i="27" s="1"/>
  <c r="H139" i="27" a="1"/>
  <c r="H139" i="27" s="1"/>
  <c r="H140" i="27" a="1"/>
  <c r="H140" i="27" s="1"/>
  <c r="H141" i="27" a="1"/>
  <c r="H141" i="27" s="1"/>
  <c r="H142" i="27" a="1"/>
  <c r="H142" i="27" s="1"/>
  <c r="H143" i="27" a="1"/>
  <c r="H143" i="27" s="1"/>
  <c r="H144" i="27" a="1"/>
  <c r="H144" i="27" s="1"/>
  <c r="H145" i="27" a="1"/>
  <c r="H145" i="27" s="1"/>
  <c r="H146" i="27" a="1"/>
  <c r="H146" i="27" s="1"/>
  <c r="H147" i="27" a="1"/>
  <c r="H147" i="27" s="1"/>
  <c r="H148" i="27" a="1"/>
  <c r="H148" i="27" s="1"/>
  <c r="H149" i="27" a="1"/>
  <c r="H149" i="27" s="1"/>
  <c r="H150" i="27" a="1"/>
  <c r="H150" i="27" s="1"/>
  <c r="H151" i="27" a="1"/>
  <c r="H151" i="27" s="1"/>
  <c r="H152" i="27" a="1"/>
  <c r="H152" i="27" s="1"/>
  <c r="H153" i="27" a="1"/>
  <c r="H153" i="27" s="1"/>
  <c r="H154" i="27" a="1"/>
  <c r="H154" i="27" s="1"/>
  <c r="H155" i="27" a="1"/>
  <c r="H155" i="27" s="1"/>
  <c r="H156" i="27" a="1"/>
  <c r="H156" i="27" s="1"/>
  <c r="H157" i="27" a="1"/>
  <c r="H157" i="27" s="1"/>
  <c r="H158" i="27" a="1"/>
  <c r="H158" i="27" s="1"/>
  <c r="H159" i="27" a="1"/>
  <c r="H159" i="27" s="1"/>
  <c r="H160" i="27" a="1"/>
  <c r="H160" i="27" s="1"/>
  <c r="H161" i="27" a="1"/>
  <c r="H161" i="27" s="1"/>
  <c r="H162" i="27" a="1"/>
  <c r="H162" i="27" s="1"/>
  <c r="H163" i="27" a="1"/>
  <c r="H163" i="27" s="1"/>
  <c r="H164" i="27" a="1"/>
  <c r="H164" i="27" s="1"/>
  <c r="H165" i="27" a="1"/>
  <c r="H165" i="27" s="1"/>
  <c r="H166" i="27" a="1"/>
  <c r="H166" i="27" s="1"/>
  <c r="H167" i="27" a="1"/>
  <c r="H167" i="27" s="1"/>
  <c r="H168" i="27" a="1"/>
  <c r="H168" i="27" s="1"/>
  <c r="H169" i="27" a="1"/>
  <c r="H169" i="27" s="1"/>
  <c r="H170" i="27" a="1"/>
  <c r="H170" i="27" s="1"/>
  <c r="H171" i="27" a="1"/>
  <c r="H171" i="27" s="1"/>
  <c r="H172" i="27" a="1"/>
  <c r="H172" i="27" s="1"/>
  <c r="H173" i="27" a="1"/>
  <c r="H173" i="27" s="1"/>
  <c r="H174" i="27" a="1"/>
  <c r="H174" i="27" s="1"/>
  <c r="H175" i="27" a="1"/>
  <c r="H175" i="27" s="1"/>
  <c r="H176" i="27" a="1"/>
  <c r="H176" i="27" s="1"/>
  <c r="H177" i="27" a="1"/>
  <c r="H177" i="27" s="1"/>
  <c r="H178" i="27" a="1"/>
  <c r="H178" i="27" s="1"/>
  <c r="H179" i="27" a="1"/>
  <c r="H179" i="27" s="1"/>
  <c r="H180" i="27" a="1"/>
  <c r="H180" i="27" s="1"/>
  <c r="H181" i="27" a="1"/>
  <c r="H181" i="27" s="1"/>
  <c r="H182" i="27" a="1"/>
  <c r="H182" i="27" s="1"/>
  <c r="H183" i="27" a="1"/>
  <c r="H183" i="27" s="1"/>
  <c r="H184" i="27" a="1"/>
  <c r="H184" i="27" s="1"/>
  <c r="H185" i="27" a="1"/>
  <c r="H185" i="27" s="1"/>
  <c r="H186" i="27" a="1"/>
  <c r="H186" i="27" s="1"/>
  <c r="H187" i="27" a="1"/>
  <c r="H187" i="27" s="1"/>
  <c r="H188" i="27" a="1"/>
  <c r="H188" i="27" s="1"/>
  <c r="H189" i="27" a="1"/>
  <c r="H189" i="27" s="1"/>
  <c r="H190" i="27" a="1"/>
  <c r="H190" i="27" s="1"/>
  <c r="H191" i="27" a="1"/>
  <c r="H191" i="27" s="1"/>
  <c r="H192" i="27" a="1"/>
  <c r="H192" i="27" s="1"/>
  <c r="H193" i="27" a="1"/>
  <c r="H193" i="27" s="1"/>
  <c r="H194" i="27" a="1"/>
  <c r="H194" i="27" s="1"/>
  <c r="H195" i="27" a="1"/>
  <c r="H195" i="27" s="1"/>
  <c r="H196" i="27" a="1"/>
  <c r="H196" i="27" s="1"/>
  <c r="H197" i="27" a="1"/>
  <c r="H197" i="27" s="1"/>
  <c r="H198" i="27" a="1"/>
  <c r="H198" i="27" s="1"/>
  <c r="H199" i="27" a="1"/>
  <c r="H199" i="27" s="1"/>
  <c r="H200" i="27" a="1"/>
  <c r="H200" i="27" s="1"/>
  <c r="H201" i="27" a="1"/>
  <c r="H201" i="27" s="1"/>
  <c r="H202" i="27" a="1"/>
  <c r="H202" i="27" s="1"/>
  <c r="H203" i="27" a="1"/>
  <c r="H203" i="27" s="1"/>
  <c r="H204" i="27" a="1"/>
  <c r="H204" i="27" s="1"/>
  <c r="H205" i="27" a="1"/>
  <c r="H205" i="27" s="1"/>
  <c r="H206" i="27" a="1"/>
  <c r="H206" i="27" s="1"/>
  <c r="H207" i="27" a="1"/>
  <c r="H207" i="27" s="1"/>
  <c r="H208" i="27" a="1"/>
  <c r="H208" i="27" s="1"/>
  <c r="H209" i="27" a="1"/>
  <c r="H209" i="27" s="1"/>
  <c r="H210" i="27" a="1"/>
  <c r="H210" i="27" s="1"/>
  <c r="H211" i="27" a="1"/>
  <c r="H211" i="27" s="1"/>
  <c r="H212" i="27" a="1"/>
  <c r="H212" i="27" s="1"/>
  <c r="H213" i="27" a="1"/>
  <c r="H213" i="27" s="1"/>
  <c r="H214" i="27" a="1"/>
  <c r="H214" i="27" s="1"/>
  <c r="H215" i="27" a="1"/>
  <c r="H215" i="27" s="1"/>
  <c r="H216" i="27" a="1"/>
  <c r="H216" i="27" s="1"/>
  <c r="H217" i="27" a="1"/>
  <c r="H217" i="27" s="1"/>
  <c r="H218" i="27" a="1"/>
  <c r="H218" i="27" s="1"/>
  <c r="H219" i="27" a="1"/>
  <c r="H219" i="27" s="1"/>
  <c r="H220" i="27" a="1"/>
  <c r="H220" i="27" s="1"/>
  <c r="H221" i="27" a="1"/>
  <c r="H221" i="27" s="1"/>
  <c r="H222" i="27" a="1"/>
  <c r="H222" i="27" s="1"/>
  <c r="H223" i="27" a="1"/>
  <c r="H223" i="27" s="1"/>
  <c r="H224" i="27" a="1"/>
  <c r="H224" i="27" s="1"/>
  <c r="H225" i="27" a="1"/>
  <c r="H225" i="27" s="1"/>
  <c r="H226" i="27" a="1"/>
  <c r="H226" i="27" s="1"/>
  <c r="H227" i="27" a="1"/>
  <c r="H227" i="27" s="1"/>
  <c r="H228" i="27" a="1"/>
  <c r="H228" i="27" s="1"/>
  <c r="H229" i="27" a="1"/>
  <c r="H229" i="27" s="1"/>
  <c r="H230" i="27" a="1"/>
  <c r="H230" i="27" s="1"/>
  <c r="H231" i="27" a="1"/>
  <c r="H231" i="27" s="1"/>
  <c r="H232" i="27" a="1"/>
  <c r="H232" i="27" s="1"/>
  <c r="H233" i="27" a="1"/>
  <c r="H233" i="27" s="1"/>
  <c r="H234" i="27" a="1"/>
  <c r="H234" i="27" s="1"/>
  <c r="H235" i="27" a="1"/>
  <c r="H235" i="27" s="1"/>
  <c r="H236" i="27" a="1"/>
  <c r="H236" i="27" s="1"/>
  <c r="H237" i="27" a="1"/>
  <c r="H237" i="27" s="1"/>
  <c r="H238" i="27" a="1"/>
  <c r="H238" i="27" s="1"/>
  <c r="H239" i="27" a="1"/>
  <c r="H239" i="27" s="1"/>
  <c r="H240" i="27" a="1"/>
  <c r="H240" i="27" s="1"/>
  <c r="H241" i="27" a="1"/>
  <c r="H241" i="27" s="1"/>
  <c r="H242" i="27" a="1"/>
  <c r="H242" i="27" s="1"/>
  <c r="H243" i="27" a="1"/>
  <c r="H243" i="27" s="1"/>
  <c r="H244" i="27" a="1"/>
  <c r="H244" i="27" s="1"/>
  <c r="H245" i="27" a="1"/>
  <c r="H245" i="27" s="1"/>
  <c r="H246" i="27" a="1"/>
  <c r="H246" i="27" s="1"/>
  <c r="H247" i="27" a="1"/>
  <c r="H247" i="27" s="1"/>
  <c r="H248" i="27" a="1"/>
  <c r="H248" i="27" s="1"/>
  <c r="H249" i="27" a="1"/>
  <c r="H249" i="27" s="1"/>
  <c r="H250" i="27" a="1"/>
  <c r="H250" i="27" s="1"/>
  <c r="H251" i="27" a="1"/>
  <c r="H251" i="27" s="1"/>
  <c r="H252" i="27" a="1"/>
  <c r="H252" i="27" s="1"/>
  <c r="H253" i="27" a="1"/>
  <c r="H253" i="27" s="1"/>
  <c r="H254" i="27" a="1"/>
  <c r="H254" i="27" s="1"/>
  <c r="H255" i="27" a="1"/>
  <c r="H255" i="27" s="1"/>
  <c r="H256" i="27" a="1"/>
  <c r="H256" i="27" s="1"/>
  <c r="H257" i="27" a="1"/>
  <c r="H257" i="27" s="1"/>
  <c r="H258" i="27" a="1"/>
  <c r="H258" i="27" s="1"/>
  <c r="H259" i="27" a="1"/>
  <c r="H259" i="27" s="1"/>
  <c r="H260" i="27" a="1"/>
  <c r="H260" i="27" s="1"/>
  <c r="H261" i="27" a="1"/>
  <c r="H261" i="27" s="1"/>
  <c r="H262" i="27" a="1"/>
  <c r="H262" i="27" s="1"/>
  <c r="H263" i="27" a="1"/>
  <c r="H263" i="27" s="1"/>
  <c r="H264" i="27" a="1"/>
  <c r="H264" i="27" s="1"/>
  <c r="H265" i="27" a="1"/>
  <c r="H265" i="27" s="1"/>
  <c r="H266" i="27" a="1"/>
  <c r="H266" i="27" s="1"/>
  <c r="H267" i="27" a="1"/>
  <c r="H267" i="27" s="1"/>
  <c r="H268" i="27" a="1"/>
  <c r="H268" i="27" s="1"/>
  <c r="H269" i="27" a="1"/>
  <c r="H269" i="27" s="1"/>
  <c r="H270" i="27" a="1"/>
  <c r="H270" i="27" s="1"/>
  <c r="H271" i="27" a="1"/>
  <c r="H271" i="27" s="1"/>
  <c r="H272" i="27" a="1"/>
  <c r="H272" i="27" s="1"/>
  <c r="H273" i="27" a="1"/>
  <c r="H273" i="27" s="1"/>
  <c r="H274" i="27" a="1"/>
  <c r="H274" i="27" s="1"/>
  <c r="H275" i="27" a="1"/>
  <c r="H275" i="27" s="1"/>
  <c r="H276" i="27" a="1"/>
  <c r="H276" i="27" s="1"/>
  <c r="H277" i="27" a="1"/>
  <c r="H277" i="27" s="1"/>
  <c r="H278" i="27" a="1"/>
  <c r="H278" i="27" s="1"/>
  <c r="H279" i="27" a="1"/>
  <c r="H279" i="27" s="1"/>
  <c r="H280" i="27" a="1"/>
  <c r="H280" i="27" s="1"/>
  <c r="H281" i="27" a="1"/>
  <c r="H281" i="27" s="1"/>
  <c r="H282" i="27" a="1"/>
  <c r="H282" i="27" s="1"/>
  <c r="H283" i="27" a="1"/>
  <c r="H283" i="27" s="1"/>
  <c r="H284" i="27" a="1"/>
  <c r="H284" i="27" s="1"/>
  <c r="H285" i="27" a="1"/>
  <c r="H285" i="27" s="1"/>
  <c r="H286" i="27" a="1"/>
  <c r="H286" i="27" s="1"/>
  <c r="H287" i="27" a="1"/>
  <c r="H287" i="27" s="1"/>
  <c r="H288" i="27" a="1"/>
  <c r="H288" i="27" s="1"/>
  <c r="H289" i="27" a="1"/>
  <c r="H289" i="27" s="1"/>
  <c r="H290" i="27" a="1"/>
  <c r="H290" i="27" s="1"/>
  <c r="H291" i="27" a="1"/>
  <c r="H291" i="27" s="1"/>
  <c r="H292" i="27" a="1"/>
  <c r="H292" i="27" s="1"/>
  <c r="H293" i="27" a="1"/>
  <c r="H293" i="27" s="1"/>
  <c r="H294" i="27" a="1"/>
  <c r="H294" i="27" s="1"/>
  <c r="H295" i="27" a="1"/>
  <c r="H295" i="27" s="1"/>
  <c r="H296" i="27" a="1"/>
  <c r="H296" i="27" s="1"/>
  <c r="H297" i="27" a="1"/>
  <c r="H297" i="27" s="1"/>
  <c r="H298" i="27" a="1"/>
  <c r="H298" i="27" s="1"/>
  <c r="H299" i="27" a="1"/>
  <c r="H299" i="27" s="1"/>
  <c r="H300" i="27" a="1"/>
  <c r="H300" i="27" s="1"/>
  <c r="H301" i="27" a="1"/>
  <c r="H301" i="27" s="1"/>
  <c r="H302" i="27" a="1"/>
  <c r="H302" i="27" s="1"/>
  <c r="H303" i="27" a="1"/>
  <c r="H303" i="27" s="1"/>
  <c r="H304" i="27" a="1"/>
  <c r="H304" i="27" s="1"/>
  <c r="H305" i="27" a="1"/>
  <c r="H305" i="27" s="1"/>
  <c r="H306" i="27" a="1"/>
  <c r="H306" i="27" s="1"/>
  <c r="H307" i="27" a="1"/>
  <c r="H307" i="27" s="1"/>
  <c r="H308" i="27" a="1"/>
  <c r="H308" i="27" s="1"/>
  <c r="H309" i="27" a="1"/>
  <c r="H309" i="27" s="1"/>
  <c r="H310" i="27" a="1"/>
  <c r="H310" i="27" s="1"/>
  <c r="H311" i="27" a="1"/>
  <c r="H311" i="27" s="1"/>
  <c r="H312" i="27" a="1"/>
  <c r="H312" i="27" s="1"/>
  <c r="H313" i="27" a="1"/>
  <c r="H313" i="27" s="1"/>
  <c r="H314" i="27" a="1"/>
  <c r="H314" i="27" s="1"/>
  <c r="H315" i="27" a="1"/>
  <c r="H315" i="27" s="1"/>
  <c r="H316" i="27" a="1"/>
  <c r="H316" i="27" s="1"/>
  <c r="H317" i="27" a="1"/>
  <c r="H317" i="27" s="1"/>
  <c r="H318" i="27" a="1"/>
  <c r="H318" i="27" s="1"/>
  <c r="H319" i="27" a="1"/>
  <c r="H319" i="27" s="1"/>
  <c r="H320" i="27" a="1"/>
  <c r="H320" i="27" s="1"/>
  <c r="H321" i="27" a="1"/>
  <c r="H321" i="27" s="1"/>
  <c r="H322" i="27" a="1"/>
  <c r="H322" i="27" s="1"/>
  <c r="H323" i="27" a="1"/>
  <c r="H323" i="27" s="1"/>
  <c r="H324" i="27" a="1"/>
  <c r="H324" i="27" s="1"/>
  <c r="E4" i="27"/>
  <c r="E5" i="27"/>
  <c r="E6" i="27"/>
  <c r="E7" i="27"/>
  <c r="E8" i="27"/>
  <c r="E9" i="27"/>
  <c r="E10" i="27"/>
  <c r="E11" i="27"/>
  <c r="E12" i="27"/>
  <c r="E13" i="27"/>
  <c r="E14" i="27"/>
  <c r="E15" i="27"/>
  <c r="E16" i="27"/>
  <c r="E17" i="27"/>
  <c r="E18" i="27"/>
  <c r="E19" i="27"/>
  <c r="E20" i="27"/>
  <c r="E21" i="27"/>
  <c r="E22" i="27"/>
  <c r="E23" i="27"/>
  <c r="E24" i="27"/>
  <c r="E25" i="27"/>
  <c r="E26" i="27"/>
  <c r="E27" i="27"/>
  <c r="E28" i="27"/>
  <c r="E29" i="27"/>
  <c r="E30" i="27"/>
  <c r="E31" i="27"/>
  <c r="E32" i="27"/>
  <c r="E33" i="27"/>
  <c r="E34" i="27"/>
  <c r="E35" i="27"/>
  <c r="E36" i="27"/>
  <c r="E37" i="27"/>
  <c r="E38" i="27"/>
  <c r="E39" i="27"/>
  <c r="E40" i="27"/>
  <c r="E41" i="27"/>
  <c r="E42" i="27"/>
  <c r="E43" i="27"/>
  <c r="E44" i="27"/>
  <c r="E45" i="27"/>
  <c r="E46" i="27"/>
  <c r="E47" i="27"/>
  <c r="E48" i="27"/>
  <c r="E49" i="27"/>
  <c r="E50" i="27"/>
  <c r="E51" i="27"/>
  <c r="E52" i="27"/>
  <c r="E53" i="27"/>
  <c r="E54" i="27"/>
  <c r="E55" i="27"/>
  <c r="E56" i="27"/>
  <c r="E57" i="27"/>
  <c r="E58" i="27"/>
  <c r="E59" i="27"/>
  <c r="E60" i="27"/>
  <c r="E61" i="27"/>
  <c r="E62" i="27"/>
  <c r="E63" i="27"/>
  <c r="E64" i="27"/>
  <c r="E65" i="27"/>
  <c r="E66" i="27"/>
  <c r="E67" i="27"/>
  <c r="E68" i="27"/>
  <c r="E69" i="27"/>
  <c r="E70" i="27"/>
  <c r="E71" i="27"/>
  <c r="E72" i="27"/>
  <c r="E73" i="27"/>
  <c r="E74" i="27"/>
  <c r="E75" i="27"/>
  <c r="E76" i="27"/>
  <c r="E77" i="27"/>
  <c r="E78" i="27"/>
  <c r="E79" i="27"/>
  <c r="E80" i="27"/>
  <c r="E81" i="27"/>
  <c r="E82" i="27"/>
  <c r="E83" i="27"/>
  <c r="E84" i="27"/>
  <c r="E85" i="27"/>
  <c r="E86" i="27"/>
  <c r="E87" i="27"/>
  <c r="E88" i="27"/>
  <c r="E89" i="27"/>
  <c r="E90" i="27"/>
  <c r="E91" i="27"/>
  <c r="E92" i="27"/>
  <c r="E93" i="27"/>
  <c r="E94" i="27"/>
  <c r="E95" i="27"/>
  <c r="E96" i="27"/>
  <c r="E97" i="27"/>
  <c r="E98" i="27"/>
  <c r="E99" i="27"/>
  <c r="E100" i="27"/>
  <c r="E101" i="27"/>
  <c r="E102" i="27"/>
  <c r="E103" i="27"/>
  <c r="E104" i="27"/>
  <c r="E105" i="27"/>
  <c r="E106" i="27"/>
  <c r="E107" i="27"/>
  <c r="E108" i="27"/>
  <c r="E109" i="27"/>
  <c r="E110" i="27"/>
  <c r="E111" i="27"/>
  <c r="E112" i="27"/>
  <c r="E113" i="27"/>
  <c r="E114" i="27"/>
  <c r="E115" i="27"/>
  <c r="E116" i="27"/>
  <c r="E117" i="27"/>
  <c r="E118" i="27"/>
  <c r="E119" i="27"/>
  <c r="E120" i="27"/>
  <c r="E121" i="27"/>
  <c r="E122" i="27"/>
  <c r="E123" i="27"/>
  <c r="E124" i="27"/>
  <c r="E125" i="27"/>
  <c r="E126" i="27"/>
  <c r="E127" i="27"/>
  <c r="E128" i="27"/>
  <c r="E129" i="27"/>
  <c r="E130" i="27"/>
  <c r="E131" i="27"/>
  <c r="E132" i="27"/>
  <c r="E133" i="27"/>
  <c r="E134" i="27"/>
  <c r="E135" i="27"/>
  <c r="E136" i="27"/>
  <c r="E137" i="27"/>
  <c r="E138" i="27"/>
  <c r="E139" i="27"/>
  <c r="E140" i="27"/>
  <c r="E141" i="27"/>
  <c r="E142" i="27"/>
  <c r="E143" i="27"/>
  <c r="E144" i="27"/>
  <c r="E145" i="27"/>
  <c r="E146" i="27"/>
  <c r="E147" i="27"/>
  <c r="E148" i="27"/>
  <c r="E149" i="27"/>
  <c r="E150" i="27"/>
  <c r="E151" i="27"/>
  <c r="E152" i="27"/>
  <c r="E153" i="27"/>
  <c r="E154" i="27"/>
  <c r="E155" i="27"/>
  <c r="E156" i="27"/>
  <c r="E157" i="27"/>
  <c r="E158" i="27"/>
  <c r="E159" i="27"/>
  <c r="E160" i="27"/>
  <c r="E161" i="27"/>
  <c r="E162" i="27"/>
  <c r="E163" i="27"/>
  <c r="E164" i="27"/>
  <c r="E165" i="27"/>
  <c r="E166" i="27"/>
  <c r="E167" i="27"/>
  <c r="E168" i="27"/>
  <c r="E169" i="27"/>
  <c r="E170" i="27"/>
  <c r="E171" i="27"/>
  <c r="E172" i="27"/>
  <c r="E173" i="27"/>
  <c r="E174" i="27"/>
  <c r="E175" i="27"/>
  <c r="E176" i="27"/>
  <c r="E177" i="27"/>
  <c r="E178" i="27"/>
  <c r="E179" i="27"/>
  <c r="E180" i="27"/>
  <c r="E181" i="27"/>
  <c r="E182" i="27"/>
  <c r="E183" i="27"/>
  <c r="E184" i="27"/>
  <c r="E185" i="27"/>
  <c r="E186" i="27"/>
  <c r="E187" i="27"/>
  <c r="E188" i="27"/>
  <c r="E189" i="27"/>
  <c r="E190" i="27"/>
  <c r="E191" i="27"/>
  <c r="E192" i="27"/>
  <c r="E193" i="27"/>
  <c r="E194" i="27"/>
  <c r="E195" i="27"/>
  <c r="E196" i="27"/>
  <c r="E197" i="27"/>
  <c r="E198" i="27"/>
  <c r="E199" i="27"/>
  <c r="E200" i="27"/>
  <c r="E201" i="27"/>
  <c r="E202" i="27"/>
  <c r="E203" i="27"/>
  <c r="E204" i="27"/>
  <c r="E205" i="27"/>
  <c r="E206" i="27"/>
  <c r="E207" i="27"/>
  <c r="E208" i="27"/>
  <c r="E209" i="27"/>
  <c r="E210" i="27"/>
  <c r="E211" i="27"/>
  <c r="E212" i="27"/>
  <c r="E213" i="27"/>
  <c r="E214" i="27"/>
  <c r="E215" i="27"/>
  <c r="E216" i="27"/>
  <c r="E217" i="27"/>
  <c r="E218" i="27"/>
  <c r="E219" i="27"/>
  <c r="E220" i="27"/>
  <c r="E221" i="27"/>
  <c r="E222" i="27"/>
  <c r="E223" i="27"/>
  <c r="E224" i="27"/>
  <c r="E225" i="27"/>
  <c r="E226" i="27"/>
  <c r="E227" i="27"/>
  <c r="E228" i="27"/>
  <c r="E229" i="27"/>
  <c r="E230" i="27"/>
  <c r="E231" i="27"/>
  <c r="E232" i="27"/>
  <c r="E233" i="27"/>
  <c r="E234" i="27"/>
  <c r="E235" i="27"/>
  <c r="E236" i="27"/>
  <c r="E237" i="27"/>
  <c r="E238" i="27"/>
  <c r="E239" i="27"/>
  <c r="E240" i="27"/>
  <c r="E241" i="27"/>
  <c r="E242" i="27"/>
  <c r="E243" i="27"/>
  <c r="E244" i="27"/>
  <c r="E245" i="27"/>
  <c r="E246" i="27"/>
  <c r="E247" i="27"/>
  <c r="E248" i="27"/>
  <c r="E249" i="27"/>
  <c r="E250" i="27"/>
  <c r="E251" i="27"/>
  <c r="E252" i="27"/>
  <c r="E253" i="27"/>
  <c r="E254" i="27"/>
  <c r="E255" i="27"/>
  <c r="E256" i="27"/>
  <c r="E257" i="27"/>
  <c r="E258" i="27"/>
  <c r="E259" i="27"/>
  <c r="E260" i="27"/>
  <c r="E261" i="27"/>
  <c r="E262" i="27"/>
  <c r="E263" i="27"/>
  <c r="E264" i="27"/>
  <c r="E265" i="27"/>
  <c r="E266" i="27"/>
  <c r="E267" i="27"/>
  <c r="E268" i="27"/>
  <c r="E269" i="27"/>
  <c r="E270" i="27"/>
  <c r="E271" i="27"/>
  <c r="E272" i="27"/>
  <c r="E273" i="27"/>
  <c r="E274" i="27"/>
  <c r="E275" i="27"/>
  <c r="E276" i="27"/>
  <c r="E277" i="27"/>
  <c r="E278" i="27"/>
  <c r="E279" i="27"/>
  <c r="E280" i="27"/>
  <c r="E281" i="27"/>
  <c r="E282" i="27"/>
  <c r="E283" i="27"/>
  <c r="E284" i="27"/>
  <c r="E285" i="27"/>
  <c r="E286" i="27"/>
  <c r="E287" i="27"/>
  <c r="E288" i="27"/>
  <c r="E289" i="27"/>
  <c r="E290" i="27"/>
  <c r="E291" i="27"/>
  <c r="E292" i="27"/>
  <c r="E293" i="27"/>
  <c r="E294" i="27"/>
  <c r="E295" i="27"/>
  <c r="E296" i="27"/>
  <c r="E297" i="27"/>
  <c r="E298" i="27"/>
  <c r="E299" i="27"/>
  <c r="E300" i="27"/>
  <c r="E301" i="27"/>
  <c r="E302" i="27"/>
  <c r="E303" i="27"/>
  <c r="E304" i="27"/>
  <c r="E305" i="27"/>
  <c r="E306" i="27"/>
  <c r="E307" i="27"/>
  <c r="E308" i="27"/>
  <c r="E309" i="27"/>
  <c r="E310" i="27"/>
  <c r="E311" i="27"/>
  <c r="E312" i="27"/>
  <c r="E313" i="27"/>
  <c r="E314" i="27"/>
  <c r="E315" i="27"/>
  <c r="E316" i="27"/>
  <c r="E317" i="27"/>
  <c r="E318" i="27"/>
  <c r="E319" i="27"/>
  <c r="E320" i="27"/>
  <c r="E321" i="27"/>
  <c r="E322" i="27"/>
  <c r="E323" i="27"/>
  <c r="E32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Rogelio Salinas</author>
  </authors>
  <commentList>
    <comment ref="B3" authorId="0" shapeId="0" xr:uid="{7420C6EC-41B0-43B6-9C1C-218AC37AA36A}">
      <text>
        <r>
          <rPr>
            <b/>
            <sz val="9"/>
            <color indexed="81"/>
            <rFont val="Tahoma"/>
            <family val="2"/>
          </rPr>
          <t>Rogelio Salinas:</t>
        </r>
        <r>
          <rPr>
            <sz val="9"/>
            <color indexed="81"/>
            <rFont val="Tahoma"/>
            <family val="2"/>
          </rPr>
          <t xml:space="preserve">
Separa la información delimitados o separados por un carácter en diferentes columnas.
2 maneras de seleccionar los datos a tratar:
1. Atajo para seleccionar múltiples celdas, presionar:
CTRL + MAYÚS + FLECHA
2. Presionar el encabezado de la columna para seleccionarla completo</t>
        </r>
      </text>
    </comment>
    <comment ref="B4" authorId="0" shapeId="0" xr:uid="{DCEC83F3-DC19-4AD5-9B08-BAB0AA15EA36}">
      <text>
        <r>
          <rPr>
            <b/>
            <sz val="9"/>
            <color indexed="81"/>
            <rFont val="Tahoma"/>
            <family val="2"/>
          </rPr>
          <t xml:space="preserve">Rogelio Salinas:
</t>
        </r>
        <r>
          <rPr>
            <sz val="9"/>
            <color indexed="81"/>
            <rFont val="Tahoma"/>
            <family val="2"/>
          </rPr>
          <t xml:space="preserve">
La fecha en número, es una representación de los días transcurridos entre el 01/01/1900 y le fecha escrita.
</t>
        </r>
      </text>
    </comment>
    <comment ref="B5" authorId="0" shapeId="0" xr:uid="{4465A833-669C-463B-9054-584BA92C7906}">
      <text>
        <r>
          <rPr>
            <b/>
            <sz val="9"/>
            <color indexed="81"/>
            <rFont val="Tahoma"/>
            <family val="2"/>
          </rPr>
          <t>Rogelio Salinas:</t>
        </r>
        <r>
          <rPr>
            <sz val="9"/>
            <color indexed="81"/>
            <rFont val="Tahoma"/>
            <family val="2"/>
          </rPr>
          <t xml:space="preserve">
El Relleno Rápido es Excel replicando la estructura que estas escribiendo por segunda ocasión, para rellenar todo el resto de las celdas con la misma estructura.</t>
        </r>
      </text>
    </comment>
    <comment ref="B6" authorId="0" shapeId="0" xr:uid="{8F91C65F-57BF-42CD-9AEC-04C48584C0A5}">
      <text>
        <r>
          <rPr>
            <b/>
            <sz val="9"/>
            <color indexed="81"/>
            <rFont val="Tahoma"/>
            <family val="2"/>
          </rPr>
          <t>Rogelio Salinas:</t>
        </r>
        <r>
          <rPr>
            <sz val="9"/>
            <color indexed="81"/>
            <rFont val="Tahoma"/>
            <family val="2"/>
          </rPr>
          <t xml:space="preserve">
La función =HOY() devuelve la fecha del día de hoy, pero si el formato de la celda es número, devolverá el número de días que hay entre la fecha 01/01/1900 y el día de HOY.</t>
        </r>
      </text>
    </comment>
    <comment ref="B7" authorId="0" shapeId="0" xr:uid="{C83BBFF5-6290-4236-A11E-EC4889EB7E4D}">
      <text>
        <r>
          <rPr>
            <b/>
            <sz val="9"/>
            <color indexed="81"/>
            <rFont val="Tahoma"/>
            <family val="2"/>
          </rPr>
          <t>Rogelio Salinas:</t>
        </r>
        <r>
          <rPr>
            <sz val="9"/>
            <color indexed="81"/>
            <rFont val="Tahoma"/>
            <family val="2"/>
          </rPr>
          <t xml:space="preserve">
Convierte celdas con países, regiones o ciudades, para obtener las estadísticas actuales del mundo. (Recomendable formato de tabla)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Rogelio Salinas</author>
  </authors>
  <commentList>
    <comment ref="B16" authorId="0" shapeId="0" xr:uid="{B16F28FB-E11B-44E7-9F8B-7203ACB4586A}">
      <text>
        <r>
          <rPr>
            <b/>
            <sz val="9"/>
            <color indexed="81"/>
            <rFont val="Tahoma"/>
            <family val="2"/>
          </rPr>
          <t>Rogelio Salinas:</t>
        </r>
        <r>
          <rPr>
            <sz val="9"/>
            <color indexed="81"/>
            <rFont val="Tahoma"/>
            <family val="2"/>
          </rPr>
          <t xml:space="preserve">
Debes desproteger la hoja para utilizar el enlace. La contraseña esta en la sesión 1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82"/>
        </ext>
      </extLst>
    </bk>
  </futureMetadata>
  <cellMetadata count="1">
    <bk>
      <rc t="1" v="0"/>
    </bk>
  </cellMetadata>
  <valueMetadata count="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</valueMetadata>
</metadata>
</file>

<file path=xl/sharedStrings.xml><?xml version="1.0" encoding="utf-8"?>
<sst xmlns="http://schemas.openxmlformats.org/spreadsheetml/2006/main" count="5078" uniqueCount="815">
  <si>
    <t>País</t>
  </si>
  <si>
    <t>Nombre del producto</t>
  </si>
  <si>
    <t>Venezuela</t>
  </si>
  <si>
    <t>Francia</t>
  </si>
  <si>
    <t>Brasil</t>
  </si>
  <si>
    <t>Estados Unidos</t>
  </si>
  <si>
    <t>Italia</t>
  </si>
  <si>
    <t>Chocolade</t>
  </si>
  <si>
    <t>Reino Unido</t>
  </si>
  <si>
    <t>Factura #</t>
  </si>
  <si>
    <t>Vendedor</t>
  </si>
  <si>
    <t>Fecha de orden</t>
  </si>
  <si>
    <t>Franklin Cruz</t>
  </si>
  <si>
    <t>Red Pepper Jelly</t>
  </si>
  <si>
    <t>Jaime Portolo</t>
  </si>
  <si>
    <t>Filo Mix</t>
  </si>
  <si>
    <t>Lorin Matthews</t>
  </si>
  <si>
    <t>Alaska King Crab</t>
  </si>
  <si>
    <t>Sam Bellows</t>
  </si>
  <si>
    <t>Pearbutter Jam</t>
  </si>
  <si>
    <t>Orange Honey</t>
  </si>
  <si>
    <t>Kevin Cook</t>
  </si>
  <si>
    <t>Huckleberry Syrup</t>
  </si>
  <si>
    <t>Applebutter Jam</t>
  </si>
  <si>
    <t>Alemania</t>
  </si>
  <si>
    <t>Simply Sweet Scones</t>
  </si>
  <si>
    <t>Smoked Salmon</t>
  </si>
  <si>
    <t>Argentina</t>
  </si>
  <si>
    <t>Annette Forthright</t>
  </si>
  <si>
    <t>Bandon Cranberry Jam</t>
  </si>
  <si>
    <t>Shannon O'Reilly</t>
  </si>
  <si>
    <t>Boysenberry Jam</t>
  </si>
  <si>
    <t>BUSCARV</t>
  </si>
  <si>
    <t xml:space="preserve">Tema </t>
  </si>
  <si>
    <t>Lo que aprenderás</t>
  </si>
  <si>
    <t>Inicio</t>
  </si>
  <si>
    <t>Enlace</t>
  </si>
  <si>
    <t>choco Biscuits</t>
  </si>
  <si>
    <t>Condicionales</t>
  </si>
  <si>
    <t>▪ ¿Por qué usamos la función SI?
▪ Ventajas y diferentes usos</t>
  </si>
  <si>
    <t>=</t>
  </si>
  <si>
    <t>&gt;</t>
  </si>
  <si>
    <t>&lt;</t>
  </si>
  <si>
    <t>&gt;=</t>
  </si>
  <si>
    <t>Solicita tu insignia de hoy</t>
  </si>
  <si>
    <t>Entrega de tu INSIGNIA</t>
  </si>
  <si>
    <t>Operadores lógicos más comunes</t>
  </si>
  <si>
    <t>&lt;&gt;</t>
  </si>
  <si>
    <t>Igual a</t>
  </si>
  <si>
    <t>Mayor que</t>
  </si>
  <si>
    <t>Menor que</t>
  </si>
  <si>
    <t>Mayor o igual que</t>
  </si>
  <si>
    <t xml:space="preserve">No igual a </t>
  </si>
  <si>
    <t>&lt;=</t>
  </si>
  <si>
    <t>Menor o igual que</t>
  </si>
  <si>
    <t>Producto</t>
  </si>
  <si>
    <t>Llena el formulario para adquirir tu primera insignia</t>
  </si>
  <si>
    <t>Uso de SI</t>
  </si>
  <si>
    <t>Paso 1</t>
  </si>
  <si>
    <t>Mirar la sesión 1</t>
  </si>
  <si>
    <t>En la sesión 1 se explica como desbloquear la hoja y también se menciona la contraseña a utilizar</t>
  </si>
  <si>
    <t>Paso 2</t>
  </si>
  <si>
    <t>Desbloqueo y uso de contraseña</t>
  </si>
  <si>
    <t>En la pestaña "Revisar" en la sección "Proteger", la primera opción debe decir "Desproteger hoja" al presionarlo pedirá la contraseña, esa contraseña se menciona en la sesión 1.</t>
  </si>
  <si>
    <t>Paso 3</t>
  </si>
  <si>
    <t>El enlace  de abajo ya funcionará</t>
  </si>
  <si>
    <t>Una vez se desbloquea la hoja, el enlace ya funcionará y podrás llenar el formulario</t>
  </si>
  <si>
    <t>Paso 4</t>
  </si>
  <si>
    <t>Finalizar formulario</t>
  </si>
  <si>
    <t>ACCIÓN</t>
  </si>
  <si>
    <t>COMBINACIÓN DE TECLAS</t>
  </si>
  <si>
    <t>Desplazate hasta la última celda o columna con información</t>
  </si>
  <si>
    <t>CTRL + FLECHAS</t>
  </si>
  <si>
    <t>Selecciona todas las celdas hacía abajo o hacía un lado</t>
  </si>
  <si>
    <t>CTRL + MAYÚS + FLECHAS</t>
  </si>
  <si>
    <t>F2</t>
  </si>
  <si>
    <t>Archivo CSV</t>
  </si>
  <si>
    <t>Trabajando con información dividido por comas</t>
  </si>
  <si>
    <t>Marca</t>
  </si>
  <si>
    <t>Última Compra</t>
  </si>
  <si>
    <t>Prod 1</t>
  </si>
  <si>
    <t>Hasbro</t>
  </si>
  <si>
    <t>Prod 2</t>
  </si>
  <si>
    <t>Prod 3</t>
  </si>
  <si>
    <t>Prod 5</t>
  </si>
  <si>
    <t>Prod 6</t>
  </si>
  <si>
    <t>Prod 7</t>
  </si>
  <si>
    <t>Prod 8</t>
  </si>
  <si>
    <t>Prod 12</t>
  </si>
  <si>
    <t>Prod 16</t>
  </si>
  <si>
    <t>Prod 20</t>
  </si>
  <si>
    <t>Prod 22</t>
  </si>
  <si>
    <t>Prod 23</t>
  </si>
  <si>
    <t>Prod 24</t>
  </si>
  <si>
    <t>Prod 26</t>
  </si>
  <si>
    <t>Prod 27</t>
  </si>
  <si>
    <t>Prod 28</t>
  </si>
  <si>
    <t>Prod 29</t>
  </si>
  <si>
    <t>Prod 30</t>
  </si>
  <si>
    <t>Prod 33</t>
  </si>
  <si>
    <t>Prod 35</t>
  </si>
  <si>
    <t>Prod 37</t>
  </si>
  <si>
    <t>Prod 41</t>
  </si>
  <si>
    <t>Prod 44</t>
  </si>
  <si>
    <t>Prod 48</t>
  </si>
  <si>
    <t>Prod 51</t>
  </si>
  <si>
    <t>Prod 52</t>
  </si>
  <si>
    <t>Prod 53</t>
  </si>
  <si>
    <t>Prod 54</t>
  </si>
  <si>
    <t>Prod 55</t>
  </si>
  <si>
    <t>QUALCOMM</t>
  </si>
  <si>
    <t>Prod 57</t>
  </si>
  <si>
    <t>Prod 61</t>
  </si>
  <si>
    <t>Prod 64</t>
  </si>
  <si>
    <t>Prod 66</t>
  </si>
  <si>
    <t>Prod 68</t>
  </si>
  <si>
    <t>Prod 74</t>
  </si>
  <si>
    <t>Prod 75</t>
  </si>
  <si>
    <t>Prod 78</t>
  </si>
  <si>
    <t>Prod 80</t>
  </si>
  <si>
    <t>Prod 81</t>
  </si>
  <si>
    <t>Prod 82</t>
  </si>
  <si>
    <t>Prod 83</t>
  </si>
  <si>
    <t>Prod 84</t>
  </si>
  <si>
    <t>Prod 88</t>
  </si>
  <si>
    <t>Prod 89</t>
  </si>
  <si>
    <t>Prod 93</t>
  </si>
  <si>
    <t>AutoZone</t>
  </si>
  <si>
    <t>Prod 102</t>
  </si>
  <si>
    <t>Prod 108</t>
  </si>
  <si>
    <t>Prod 110</t>
  </si>
  <si>
    <t>Prod 111</t>
  </si>
  <si>
    <t>Prod 115</t>
  </si>
  <si>
    <t>Prod 116</t>
  </si>
  <si>
    <t>Prod 117</t>
  </si>
  <si>
    <t>Prod 118</t>
  </si>
  <si>
    <t>Prod 124</t>
  </si>
  <si>
    <t>Prod 126</t>
  </si>
  <si>
    <t>Prod 131</t>
  </si>
  <si>
    <t>Prod 135</t>
  </si>
  <si>
    <t>Prod 137</t>
  </si>
  <si>
    <t>Prod 140</t>
  </si>
  <si>
    <t>Prod 147</t>
  </si>
  <si>
    <t>Prod 148</t>
  </si>
  <si>
    <t>Prod 153</t>
  </si>
  <si>
    <t>Prod 154</t>
  </si>
  <si>
    <t>Prod 155</t>
  </si>
  <si>
    <t>Prod 158</t>
  </si>
  <si>
    <t>Prod 159</t>
  </si>
  <si>
    <t>Prod 161</t>
  </si>
  <si>
    <t>Prod 162</t>
  </si>
  <si>
    <t>Prod 169</t>
  </si>
  <si>
    <t>Prod 172</t>
  </si>
  <si>
    <t>Prod 174</t>
  </si>
  <si>
    <t>Prod 175</t>
  </si>
  <si>
    <t>Prod 176</t>
  </si>
  <si>
    <t>Prod 178</t>
  </si>
  <si>
    <t>Prod 181</t>
  </si>
  <si>
    <t>Prod 183</t>
  </si>
  <si>
    <t>Prod 184</t>
  </si>
  <si>
    <t>Prod 188</t>
  </si>
  <si>
    <t>Prod 189</t>
  </si>
  <si>
    <t>Prod 191</t>
  </si>
  <si>
    <t>Prod 192</t>
  </si>
  <si>
    <t>Prod 193</t>
  </si>
  <si>
    <t>Prod 194</t>
  </si>
  <si>
    <t>Prod 198</t>
  </si>
  <si>
    <t>Prod 201</t>
  </si>
  <si>
    <t>Prod 204</t>
  </si>
  <si>
    <t>Prod 206</t>
  </si>
  <si>
    <t>Prod 210</t>
  </si>
  <si>
    <t>Prod 214</t>
  </si>
  <si>
    <t>Prod 215</t>
  </si>
  <si>
    <t>Prod 220</t>
  </si>
  <si>
    <t>Prod 222</t>
  </si>
  <si>
    <t>Prod 227</t>
  </si>
  <si>
    <t>Prod 231</t>
  </si>
  <si>
    <t>Prod 233</t>
  </si>
  <si>
    <t>Prod 234</t>
  </si>
  <si>
    <t>Prod 235</t>
  </si>
  <si>
    <t>Prod 236</t>
  </si>
  <si>
    <t>Prod 237</t>
  </si>
  <si>
    <t>Prod 239</t>
  </si>
  <si>
    <t>Prod 242</t>
  </si>
  <si>
    <t>Prod 247</t>
  </si>
  <si>
    <t>Prod 253</t>
  </si>
  <si>
    <t>Prod 255</t>
  </si>
  <si>
    <t>Prod 260</t>
  </si>
  <si>
    <t>Prod 262</t>
  </si>
  <si>
    <t>Prod 266</t>
  </si>
  <si>
    <t>Prod 272</t>
  </si>
  <si>
    <t>Prod 275</t>
  </si>
  <si>
    <t>Prod 276</t>
  </si>
  <si>
    <t>Prod 277</t>
  </si>
  <si>
    <t>Prod 279</t>
  </si>
  <si>
    <t>Prod 283</t>
  </si>
  <si>
    <t>Prod 285</t>
  </si>
  <si>
    <t>Prod 287</t>
  </si>
  <si>
    <t>Prod 289</t>
  </si>
  <si>
    <t>Prod 298</t>
  </si>
  <si>
    <t>Prod 300</t>
  </si>
  <si>
    <t>Prod 302</t>
  </si>
  <si>
    <t>Prod 304</t>
  </si>
  <si>
    <t>Prod 305</t>
  </si>
  <si>
    <t>Prod 308</t>
  </si>
  <si>
    <t>Prod 310</t>
  </si>
  <si>
    <t>Prod 315</t>
  </si>
  <si>
    <t>Prod 319</t>
  </si>
  <si>
    <t>Prod 321</t>
  </si>
  <si>
    <t>Prod 322</t>
  </si>
  <si>
    <t>Prod 323</t>
  </si>
  <si>
    <t>Prod 324</t>
  </si>
  <si>
    <t>Prod 325</t>
  </si>
  <si>
    <t>Prod 327</t>
  </si>
  <si>
    <t>Prod 330</t>
  </si>
  <si>
    <t>Prod 335</t>
  </si>
  <si>
    <t>Prod 337</t>
  </si>
  <si>
    <t>Prod 338</t>
  </si>
  <si>
    <t>Prod 341</t>
  </si>
  <si>
    <t>Prod 347</t>
  </si>
  <si>
    <t>Prod 354</t>
  </si>
  <si>
    <t>Prod 358</t>
  </si>
  <si>
    <t>Prod 359</t>
  </si>
  <si>
    <t>Prod 360</t>
  </si>
  <si>
    <t>Prod 363</t>
  </si>
  <si>
    <t>Prod 367</t>
  </si>
  <si>
    <t>Prod 368</t>
  </si>
  <si>
    <t>Prod 372</t>
  </si>
  <si>
    <t>Prod 373</t>
  </si>
  <si>
    <t>Prod 376</t>
  </si>
  <si>
    <t>Prod 381</t>
  </si>
  <si>
    <t>Prod 385</t>
  </si>
  <si>
    <t>Prod 387</t>
  </si>
  <si>
    <t>Prod 389</t>
  </si>
  <si>
    <t>Prod 393</t>
  </si>
  <si>
    <t>Prod 394</t>
  </si>
  <si>
    <t>Prod 396</t>
  </si>
  <si>
    <t>Prod 398</t>
  </si>
  <si>
    <t>Prod 400</t>
  </si>
  <si>
    <t>Prod 404</t>
  </si>
  <si>
    <t>Prod 406</t>
  </si>
  <si>
    <t>Prod 407</t>
  </si>
  <si>
    <t>Prod 409</t>
  </si>
  <si>
    <t>Prod 410</t>
  </si>
  <si>
    <t>Prod 411</t>
  </si>
  <si>
    <t>Prod 415</t>
  </si>
  <si>
    <t>Prod 420</t>
  </si>
  <si>
    <t>Prod 428</t>
  </si>
  <si>
    <t>Prod 429</t>
  </si>
  <si>
    <t>Prod 430</t>
  </si>
  <si>
    <t>Prod 431</t>
  </si>
  <si>
    <t>Prod 433</t>
  </si>
  <si>
    <t>Prod 440</t>
  </si>
  <si>
    <t>Prod 443</t>
  </si>
  <si>
    <t>Prod 447</t>
  </si>
  <si>
    <t>Prod 448</t>
  </si>
  <si>
    <t>Prod 449</t>
  </si>
  <si>
    <t>Prod 450</t>
  </si>
  <si>
    <t>Prod 454</t>
  </si>
  <si>
    <t>Prod 455</t>
  </si>
  <si>
    <t>Prod 461</t>
  </si>
  <si>
    <t>Prod 465</t>
  </si>
  <si>
    <t>Prod 466</t>
  </si>
  <si>
    <t>Prod 468</t>
  </si>
  <si>
    <t>Prod 470</t>
  </si>
  <si>
    <t>Prod 471</t>
  </si>
  <si>
    <t>Prod 472</t>
  </si>
  <si>
    <t>Prod 473</t>
  </si>
  <si>
    <t>Prod 475</t>
  </si>
  <si>
    <t>Prod 476</t>
  </si>
  <si>
    <t>Prod 478</t>
  </si>
  <si>
    <t>Prod 481</t>
  </si>
  <si>
    <t>Prod 482</t>
  </si>
  <si>
    <t>Prod 483</t>
  </si>
  <si>
    <t>Prod 484</t>
  </si>
  <si>
    <t>Prod 485</t>
  </si>
  <si>
    <t>Prod 491</t>
  </si>
  <si>
    <t>Prod 492</t>
  </si>
  <si>
    <t>Prod 493</t>
  </si>
  <si>
    <t>Prod 501</t>
  </si>
  <si>
    <t>Prod 503</t>
  </si>
  <si>
    <t>Prod 504</t>
  </si>
  <si>
    <t>Prod 506</t>
  </si>
  <si>
    <t>Prod 507</t>
  </si>
  <si>
    <t>Prod 512</t>
  </si>
  <si>
    <t>Prod 513</t>
  </si>
  <si>
    <t>Prod 514</t>
  </si>
  <si>
    <t>Prod 516</t>
  </si>
  <si>
    <t>Prod 518</t>
  </si>
  <si>
    <t>Prod 523</t>
  </si>
  <si>
    <t>Prod 524</t>
  </si>
  <si>
    <t>Prod 526</t>
  </si>
  <si>
    <t>Prod 527</t>
  </si>
  <si>
    <t>Prod 531</t>
  </si>
  <si>
    <t>Prod 534</t>
  </si>
  <si>
    <t>Prod 536</t>
  </si>
  <si>
    <t>Prod 538</t>
  </si>
  <si>
    <t>Prod 540</t>
  </si>
  <si>
    <t>Prod 544</t>
  </si>
  <si>
    <t>Prod 548</t>
  </si>
  <si>
    <t>Prod 549</t>
  </si>
  <si>
    <t>Prod 550</t>
  </si>
  <si>
    <t>Prod 554</t>
  </si>
  <si>
    <t>Prod 555</t>
  </si>
  <si>
    <t>Prod 561</t>
  </si>
  <si>
    <t>Home Depot</t>
  </si>
  <si>
    <t>Prod 563</t>
  </si>
  <si>
    <t>Prod 565</t>
  </si>
  <si>
    <t>Prod 570</t>
  </si>
  <si>
    <t>Prod 575</t>
  </si>
  <si>
    <t>Prod 577</t>
  </si>
  <si>
    <t>Prod 578</t>
  </si>
  <si>
    <t>Prod 580</t>
  </si>
  <si>
    <t>Prod 582</t>
  </si>
  <si>
    <t>Prod 583</t>
  </si>
  <si>
    <t>Prod 584</t>
  </si>
  <si>
    <t>Prod 592</t>
  </si>
  <si>
    <t>Prod 593</t>
  </si>
  <si>
    <t>Prod 594</t>
  </si>
  <si>
    <t>Prod 595</t>
  </si>
  <si>
    <t>Prod 597</t>
  </si>
  <si>
    <t>Prod 598</t>
  </si>
  <si>
    <t>Prod 599</t>
  </si>
  <si>
    <t>Prod 603</t>
  </si>
  <si>
    <t>Prod 606</t>
  </si>
  <si>
    <t>Prod 610</t>
  </si>
  <si>
    <t>Prod 613</t>
  </si>
  <si>
    <t>Prod 614</t>
  </si>
  <si>
    <t>Prod 617</t>
  </si>
  <si>
    <t>Prod 618</t>
  </si>
  <si>
    <t>Prod 622</t>
  </si>
  <si>
    <t>Prod 624</t>
  </si>
  <si>
    <t>Prod 626</t>
  </si>
  <si>
    <t>Prod 629</t>
  </si>
  <si>
    <t>Prod 635</t>
  </si>
  <si>
    <t>Prod 646</t>
  </si>
  <si>
    <t>Prod 648</t>
  </si>
  <si>
    <t>Prod 652</t>
  </si>
  <si>
    <t>Prod 659</t>
  </si>
  <si>
    <t>Prod 662</t>
  </si>
  <si>
    <t>Prod 666</t>
  </si>
  <si>
    <t>Prod 667</t>
  </si>
  <si>
    <t>Prod 668</t>
  </si>
  <si>
    <t>Prod 670</t>
  </si>
  <si>
    <t>Prod 671</t>
  </si>
  <si>
    <t>Prod 677</t>
  </si>
  <si>
    <t>Prod 678</t>
  </si>
  <si>
    <t>Prod 680</t>
  </si>
  <si>
    <t>Prod 681</t>
  </si>
  <si>
    <t>Prod 682</t>
  </si>
  <si>
    <t>Nike</t>
  </si>
  <si>
    <t>Prod 684</t>
  </si>
  <si>
    <t>Prod 685</t>
  </si>
  <si>
    <t>Prod 688</t>
  </si>
  <si>
    <t>Prod 691</t>
  </si>
  <si>
    <t>Prod 695</t>
  </si>
  <si>
    <t>Prod 698</t>
  </si>
  <si>
    <t>Prod 699</t>
  </si>
  <si>
    <t>Prod 701</t>
  </si>
  <si>
    <t>Prod 707</t>
  </si>
  <si>
    <t>Prod 708</t>
  </si>
  <si>
    <t>Nvidia</t>
  </si>
  <si>
    <t>Prod 709</t>
  </si>
  <si>
    <t>Prod 710</t>
  </si>
  <si>
    <t>Prod 713</t>
  </si>
  <si>
    <t>Prod 719</t>
  </si>
  <si>
    <t>Prod 720</t>
  </si>
  <si>
    <t>Prod 721</t>
  </si>
  <si>
    <t>Prod 722</t>
  </si>
  <si>
    <t>Prod 723</t>
  </si>
  <si>
    <t>Prod 724</t>
  </si>
  <si>
    <t>Prod 726</t>
  </si>
  <si>
    <t>Prod 727</t>
  </si>
  <si>
    <t>Prod 728</t>
  </si>
  <si>
    <t>Prod 729</t>
  </si>
  <si>
    <t>Prod 732</t>
  </si>
  <si>
    <t>Prod 736</t>
  </si>
  <si>
    <t>Prod 741</t>
  </si>
  <si>
    <t>Prod 742</t>
  </si>
  <si>
    <t>Prod 746</t>
  </si>
  <si>
    <t>Prod 747</t>
  </si>
  <si>
    <t>Prod 753</t>
  </si>
  <si>
    <t>Prod 754</t>
  </si>
  <si>
    <t>Prod 758</t>
  </si>
  <si>
    <t>Prod 763</t>
  </si>
  <si>
    <t>Prod 764</t>
  </si>
  <si>
    <t>Prod 768</t>
  </si>
  <si>
    <t>Prod 769</t>
  </si>
  <si>
    <t>Prod 770</t>
  </si>
  <si>
    <t>Prod 772</t>
  </si>
  <si>
    <t>Prod 778</t>
  </si>
  <si>
    <t>Prod 779</t>
  </si>
  <si>
    <t>Prod 783</t>
  </si>
  <si>
    <t>Prod 784</t>
  </si>
  <si>
    <t>Prod 785</t>
  </si>
  <si>
    <t>Prod 788</t>
  </si>
  <si>
    <t>Prod 791</t>
  </si>
  <si>
    <t>Prod 793</t>
  </si>
  <si>
    <t>Prod 794</t>
  </si>
  <si>
    <t>Prod 795</t>
  </si>
  <si>
    <t>Prod 796</t>
  </si>
  <si>
    <t>Prod 798</t>
  </si>
  <si>
    <t>Prod 799</t>
  </si>
  <si>
    <t>Prod 800</t>
  </si>
  <si>
    <t>Prod 801</t>
  </si>
  <si>
    <t>Prod 803</t>
  </si>
  <si>
    <t>Prod 805</t>
  </si>
  <si>
    <t>Prod 807</t>
  </si>
  <si>
    <t>Valor</t>
  </si>
  <si>
    <t>Origen</t>
  </si>
  <si>
    <t>Código de etiqueta</t>
  </si>
  <si>
    <t>Bra-AutoZone-Prod 93</t>
  </si>
  <si>
    <t>Arg-Home Depot-Prod 793</t>
  </si>
  <si>
    <t>Arg-AutoZone-Prod 798</t>
  </si>
  <si>
    <t>Días última compra</t>
  </si>
  <si>
    <t>Población</t>
  </si>
  <si>
    <t>Etiqueta del producto</t>
  </si>
  <si>
    <t>Edita celda o fórmula</t>
  </si>
  <si>
    <t>▪ Cómo acomodar la información con "Texto a columnas"
▪ Uso de Fechas en Excel
▪ Dar formato a nuestra base de datos
▪ Relleno rápido</t>
  </si>
  <si>
    <t>Uso "Texto a columnas"</t>
  </si>
  <si>
    <t>Fechas en Excel</t>
  </si>
  <si>
    <t>Función HOY</t>
  </si>
  <si>
    <t>Relleno rápido</t>
  </si>
  <si>
    <t>Información geográfica</t>
  </si>
  <si>
    <t>Objetivo: Transformar los datos de tipo CSV a una tabla formateada</t>
  </si>
  <si>
    <t>Adidas</t>
  </si>
  <si>
    <t>Bra-Adidas-Prod 1</t>
  </si>
  <si>
    <t>Bra-Adidas-Prod 20</t>
  </si>
  <si>
    <t>Bra-Nvidia-Prod 24</t>
  </si>
  <si>
    <t>Bra-AutoZone-Prod 29</t>
  </si>
  <si>
    <t>Bra-Nvidia-Prod 30</t>
  </si>
  <si>
    <t>Bra-Adidas-Prod 53</t>
  </si>
  <si>
    <t>Bra-Nvidia-Prod 75</t>
  </si>
  <si>
    <t>Bra-Hasbro-Prod 80</t>
  </si>
  <si>
    <t>Bra-Adidas-Prod 82</t>
  </si>
  <si>
    <t>Bra-Home Depot-Prod 83</t>
  </si>
  <si>
    <t>Bra-Nike-Prod 84</t>
  </si>
  <si>
    <t>Bra-Nvidia-Prod 89</t>
  </si>
  <si>
    <t>Bra-Nike-Prod 117</t>
  </si>
  <si>
    <t>Bra-Hasbro-Prod 131</t>
  </si>
  <si>
    <t>Bra-Home Depot-Prod 135</t>
  </si>
  <si>
    <t>Bra-Nike-Prod 140</t>
  </si>
  <si>
    <t>Bra-Adidas-Prod 155</t>
  </si>
  <si>
    <t>Bra-Home Depot-Prod 161</t>
  </si>
  <si>
    <t>Bra-Nvidia-Prod 162</t>
  </si>
  <si>
    <t>Bra-QUALCOMM-Prod 172</t>
  </si>
  <si>
    <t>Bra-QUALCOMM-Prod 174</t>
  </si>
  <si>
    <t>Bra-AutoZone-Prod 183</t>
  </si>
  <si>
    <t>Bra-Adidas-Prod 184</t>
  </si>
  <si>
    <t>Bra-Nike-Prod 194</t>
  </si>
  <si>
    <t>Bra-AutoZone-Prod 198</t>
  </si>
  <si>
    <t>Bra-Adidas-Prod 204</t>
  </si>
  <si>
    <t>Bra-Nike-Prod 215</t>
  </si>
  <si>
    <t>Bra-Adidas-Prod 220</t>
  </si>
  <si>
    <t>Bra-Nvidia-Prod 234</t>
  </si>
  <si>
    <t>Bra-Nvidia-Prod 236</t>
  </si>
  <si>
    <t>Bra-Adidas-Prod 239</t>
  </si>
  <si>
    <t>Bra-QUALCOMM-Prod 255</t>
  </si>
  <si>
    <t>Bra-Home Depot-Prod 266</t>
  </si>
  <si>
    <t>Bra-Nvidia-Prod 285</t>
  </si>
  <si>
    <t>Bra-QUALCOMM-Prod 287</t>
  </si>
  <si>
    <t>Bra-Home Depot-Prod 289</t>
  </si>
  <si>
    <t>Bra-AutoZone-Prod 298</t>
  </si>
  <si>
    <t>Bra-AutoZone-Prod 300</t>
  </si>
  <si>
    <t>Bra-Home Depot-Prod 305</t>
  </si>
  <si>
    <t>Bra-AutoZone-Prod 319</t>
  </si>
  <si>
    <t>Bra-Nvidia-Prod 335</t>
  </si>
  <si>
    <t>Bra-Nike-Prod 337</t>
  </si>
  <si>
    <t>Bra-Nike-Prod 347</t>
  </si>
  <si>
    <t>Bra-Hasbro-Prod 354</t>
  </si>
  <si>
    <t>Bra-Nike-Prod 359</t>
  </si>
  <si>
    <t>Bra-Adidas-Prod 360</t>
  </si>
  <si>
    <t>Bra-Home Depot-Prod 363</t>
  </si>
  <si>
    <t>Bra-Hasbro-Prod 376</t>
  </si>
  <si>
    <t>Bra-QUALCOMM-Prod 381</t>
  </si>
  <si>
    <t>Bra-QUALCOMM-Prod 387</t>
  </si>
  <si>
    <t>Bra-Hasbro-Prod 415</t>
  </si>
  <si>
    <t>Bra-Nvidia-Prod 429</t>
  </si>
  <si>
    <t>Bra-Nike-Prod 440</t>
  </si>
  <si>
    <t>Bra-AutoZone-Prod 447</t>
  </si>
  <si>
    <t>Bra-Home Depot-Prod 448</t>
  </si>
  <si>
    <t>Bra-Nvidia-Prod 454</t>
  </si>
  <si>
    <t>Bra-Hasbro-Prod 455</t>
  </si>
  <si>
    <t>Bra-Home Depot-Prod 468</t>
  </si>
  <si>
    <t>Bra-Adidas-Prod 471</t>
  </si>
  <si>
    <t>Bra-QUALCOMM-Prod 472</t>
  </si>
  <si>
    <t>Bra-Nike-Prod 476</t>
  </si>
  <si>
    <t>Bra-Adidas-Prod 478</t>
  </si>
  <si>
    <t>Bra-Nvidia-Prod 482</t>
  </si>
  <si>
    <t>Bra-Hasbro-Prod 485</t>
  </si>
  <si>
    <t>Bra-Home Depot-Prod 491</t>
  </si>
  <si>
    <t>Bra-AutoZone-Prod 503</t>
  </si>
  <si>
    <t>Bra-Nvidia-Prod 512</t>
  </si>
  <si>
    <t>Bra-AutoZone-Prod 561</t>
  </si>
  <si>
    <t>Bra-Home Depot-Prod 565</t>
  </si>
  <si>
    <t>Bra-QUALCOMM-Prod 577</t>
  </si>
  <si>
    <t>Bra-QUALCOMM-Prod 583</t>
  </si>
  <si>
    <t>Bra-QUALCOMM-Prod 584</t>
  </si>
  <si>
    <t>Bra-Home Depot-Prod 594</t>
  </si>
  <si>
    <t>Bra-Nike-Prod 599</t>
  </si>
  <si>
    <t>Bra-Home Depot-Prod 610</t>
  </si>
  <si>
    <t>Bra-Nvidia-Prod 622</t>
  </si>
  <si>
    <t>Bra-Home Depot-Prod 624</t>
  </si>
  <si>
    <t>Bra-QUALCOMM-Prod 626</t>
  </si>
  <si>
    <t>Bra-QUALCOMM-Prod 629</t>
  </si>
  <si>
    <t>Bra-AutoZone-Prod 646</t>
  </si>
  <si>
    <t>Bra-AutoZone-Prod 652</t>
  </si>
  <si>
    <t>Bra-Adidas-Prod 662</t>
  </si>
  <si>
    <t>Bra-QUALCOMM-Prod 666</t>
  </si>
  <si>
    <t>Bra-Adidas-Prod 667</t>
  </si>
  <si>
    <t>Bra-Hasbro-Prod 668</t>
  </si>
  <si>
    <t>Bra-Adidas-Prod 681</t>
  </si>
  <si>
    <t>Bra-Hasbro-Prod 682</t>
  </si>
  <si>
    <t>Bra-AutoZone-Prod 701</t>
  </si>
  <si>
    <t>Bra-Home Depot-Prod 707</t>
  </si>
  <si>
    <t>Bra-QUALCOMM-Prod 710</t>
  </si>
  <si>
    <t>Bra-Nike-Prod 720</t>
  </si>
  <si>
    <t>Bra-Hasbro-Prod 721</t>
  </si>
  <si>
    <t>Bra-AutoZone-Prod 722</t>
  </si>
  <si>
    <t>Bra-AutoZone-Prod 726</t>
  </si>
  <si>
    <t>Bra-Adidas-Prod 727</t>
  </si>
  <si>
    <t>Bra-AutoZone-Prod 741</t>
  </si>
  <si>
    <t>Bra-Nike-Prod 742</t>
  </si>
  <si>
    <t>Bra-Home Depot-Prod 746</t>
  </si>
  <si>
    <t>Bra-Adidas-Prod 758</t>
  </si>
  <si>
    <t>Bra-Home Depot-Prod 768</t>
  </si>
  <si>
    <t>Bra-AutoZone-Prod 769</t>
  </si>
  <si>
    <t>Bra-Hasbro-Prod 785</t>
  </si>
  <si>
    <t>Bra-AutoZone-Prod 807</t>
  </si>
  <si>
    <t>Chi-AutoZone-Prod 2</t>
  </si>
  <si>
    <t>Chi-Nike-Prod 5</t>
  </si>
  <si>
    <t>Chi-Adidas-Prod 6</t>
  </si>
  <si>
    <t>Chi-QUALCOMM-Prod 16</t>
  </si>
  <si>
    <t>Chi-Home Depot-Prod 23</t>
  </si>
  <si>
    <t>Chi-Nvidia-Prod 26</t>
  </si>
  <si>
    <t>Chi-Home Depot-Prod 27</t>
  </si>
  <si>
    <t>Chi-Home Depot-Prod 28</t>
  </si>
  <si>
    <t>Chi-Adidas-Prod 33</t>
  </si>
  <si>
    <t>Chi-QUALCOMM-Prod 35</t>
  </si>
  <si>
    <t>Chi-Home Depot-Prod 37</t>
  </si>
  <si>
    <t>Chi-Nike-Prod 54</t>
  </si>
  <si>
    <t>Chi-Nvidia-Prod 57</t>
  </si>
  <si>
    <t>Chi-Nvidia-Prod 61</t>
  </si>
  <si>
    <t>Chi-Hasbro-Prod 64</t>
  </si>
  <si>
    <t>Chi-Adidas-Prod 66</t>
  </si>
  <si>
    <t>Chi-Nvidia-Prod 68</t>
  </si>
  <si>
    <t>Chi-AutoZone-Prod 78</t>
  </si>
  <si>
    <t>Chi-QUALCOMM-Prod 110</t>
  </si>
  <si>
    <t>Chi-QUALCOMM-Prod 111</t>
  </si>
  <si>
    <t>Chi-Nike-Prod 126</t>
  </si>
  <si>
    <t>Chi-QUALCOMM-Prod 147</t>
  </si>
  <si>
    <t>Chi-Hasbro-Prod 153</t>
  </si>
  <si>
    <t>Chi-Home Depot-Prod 154</t>
  </si>
  <si>
    <t>Chi-Nike-Prod 158</t>
  </si>
  <si>
    <t>Chi-AutoZone-Prod 175</t>
  </si>
  <si>
    <t>Chi-Home Depot-Prod 176</t>
  </si>
  <si>
    <t>Chi-Adidas-Prod 178</t>
  </si>
  <si>
    <t>Chi-QUALCOMM-Prod 181</t>
  </si>
  <si>
    <t>Chi-Adidas-Prod 188</t>
  </si>
  <si>
    <t>Chi-Hasbro-Prod 193</t>
  </si>
  <si>
    <t>Chi-Nvidia-Prod 201</t>
  </si>
  <si>
    <t>Chi-Home Depot-Prod 210</t>
  </si>
  <si>
    <t>Chi-QUALCOMM-Prod 214</t>
  </si>
  <si>
    <t>Chi-Nvidia-Prod 231</t>
  </si>
  <si>
    <t>Chi-Nvidia-Prod 233</t>
  </si>
  <si>
    <t>Chi-Hasbro-Prod 235</t>
  </si>
  <si>
    <t>Chi-Home Depot-Prod 237</t>
  </si>
  <si>
    <t>Chi-AutoZone-Prod 242</t>
  </si>
  <si>
    <t>Chi-Nvidia-Prod 260</t>
  </si>
  <si>
    <t>Chi-QUALCOMM-Prod 276</t>
  </si>
  <si>
    <t>Chi-Nike-Prod 279</t>
  </si>
  <si>
    <t>Chi-Nvidia-Prod 304</t>
  </si>
  <si>
    <t>Chi-QUALCOMM-Prod 325</t>
  </si>
  <si>
    <t>Chi-Nvidia-Prod 327</t>
  </si>
  <si>
    <t>Chi-Home Depot-Prod 338</t>
  </si>
  <si>
    <t>Chi-Hasbro-Prod 341</t>
  </si>
  <si>
    <t>Chi-AutoZone-Prod 358</t>
  </si>
  <si>
    <t>Chi-Home Depot-Prod 368</t>
  </si>
  <si>
    <t>Chi-Home Depot-Prod 372</t>
  </si>
  <si>
    <t>Chi-Nike-Prod 396</t>
  </si>
  <si>
    <t>Chi-Home Depot-Prod 398</t>
  </si>
  <si>
    <t>Chi-Hasbro-Prod 406</t>
  </si>
  <si>
    <t>Chi-Nike-Prod 420</t>
  </si>
  <si>
    <t>Chi-Nvidia-Prod 430</t>
  </si>
  <si>
    <t>Chi-Nvidia-Prod 449</t>
  </si>
  <si>
    <t>Chi-Nike-Prod 461</t>
  </si>
  <si>
    <t>Chi-Nike-Prod 465</t>
  </si>
  <si>
    <t>Chi-Nike-Prod 466</t>
  </si>
  <si>
    <t>Chi-QUALCOMM-Prod 470</t>
  </si>
  <si>
    <t>Chi-Home Depot-Prod 483</t>
  </si>
  <si>
    <t>Chi-Hasbro-Prod 492</t>
  </si>
  <si>
    <t>Chi-QUALCOMM-Prod 501</t>
  </si>
  <si>
    <t>Chi-Nvidia-Prod 507</t>
  </si>
  <si>
    <t>Chi-Adidas-Prod 513</t>
  </si>
  <si>
    <t>Chi-AutoZone-Prod 514</t>
  </si>
  <si>
    <t>Chi-Nike-Prod 518</t>
  </si>
  <si>
    <t>Chi-Hasbro-Prod 524</t>
  </si>
  <si>
    <t>Chi-Hasbro-Prod 527</t>
  </si>
  <si>
    <t>Chi-Adidas-Prod 531</t>
  </si>
  <si>
    <t>Chi-Nike-Prod 540</t>
  </si>
  <si>
    <t>Chi-Nike-Prod 550</t>
  </si>
  <si>
    <t>Chi-Hasbro-Prod 555</t>
  </si>
  <si>
    <t>Chi-Hasbro-Prod 570</t>
  </si>
  <si>
    <t>Chi-Home Depot-Prod 580</t>
  </si>
  <si>
    <t>Chi-Hasbro-Prod 582</t>
  </si>
  <si>
    <t>Chi-Home Depot-Prod 592</t>
  </si>
  <si>
    <t>Chi-AutoZone-Prod 595</t>
  </si>
  <si>
    <t>Chi-AutoZone-Prod 597</t>
  </si>
  <si>
    <t>Chi-Hasbro-Prod 606</t>
  </si>
  <si>
    <t>Chi-Nike-Prod 613</t>
  </si>
  <si>
    <t>Chi-QUALCOMM-Prod 614</t>
  </si>
  <si>
    <t>Chi-Home Depot-Prod 617</t>
  </si>
  <si>
    <t>Chi-Nike-Prod 618</t>
  </si>
  <si>
    <t>Chi-AutoZone-Prod 635</t>
  </si>
  <si>
    <t>Chi-QUALCOMM-Prod 670</t>
  </si>
  <si>
    <t>Chi-Adidas-Prod 688</t>
  </si>
  <si>
    <t>Chi-QUALCOMM-Prod 691</t>
  </si>
  <si>
    <t>Chi-Nvidia-Prod 698</t>
  </si>
  <si>
    <t>Chi-Adidas-Prod 708</t>
  </si>
  <si>
    <t>Chi-QUALCOMM-Prod 713</t>
  </si>
  <si>
    <t>Chi-Adidas-Prod 724</t>
  </si>
  <si>
    <t>Chi-Nvidia-Prod 732</t>
  </si>
  <si>
    <t>Chi-QUALCOMM-Prod 747</t>
  </si>
  <si>
    <t>Chi-Nvidia-Prod 753</t>
  </si>
  <si>
    <t>Chi-Adidas-Prod 754</t>
  </si>
  <si>
    <t>Chi-AutoZone-Prod 764</t>
  </si>
  <si>
    <t>Chi-Nike-Prod 772</t>
  </si>
  <si>
    <t>Chi-Home Depot-Prod 779</t>
  </si>
  <si>
    <t>Chi-Home Depot-Prod 791</t>
  </si>
  <si>
    <t>Chi-Hasbro-Prod 794</t>
  </si>
  <si>
    <t>Chi-Adidas-Prod 796</t>
  </si>
  <si>
    <t>Chi-Adidas-Prod 799</t>
  </si>
  <si>
    <t>Arg-Hasbro-Prod 3</t>
  </si>
  <si>
    <t>Arg-Nike-Prod 7</t>
  </si>
  <si>
    <t>Arg-Nvidia-Prod 8</t>
  </si>
  <si>
    <t>Arg-Home Depot-Prod 12</t>
  </si>
  <si>
    <t>Arg-Hasbro-Prod 22</t>
  </si>
  <si>
    <t>Arg-Adidas-Prod 41</t>
  </si>
  <si>
    <t>Arg-Nike-Prod 44</t>
  </si>
  <si>
    <t>Arg-Nvidia-Prod 48</t>
  </si>
  <si>
    <t>Arg-QUALCOMM-Prod 51</t>
  </si>
  <si>
    <t>Arg-Home Depot-Prod 52</t>
  </si>
  <si>
    <t>Arg-AutoZone-Prod 55</t>
  </si>
  <si>
    <t>Arg-Hasbro-Prod 74</t>
  </si>
  <si>
    <t>Arg-Adidas-Prod 81</t>
  </si>
  <si>
    <t>Arg-AutoZone-Prod 88</t>
  </si>
  <si>
    <t>Arg-Nike-Prod 102</t>
  </si>
  <si>
    <t>Arg-Hasbro-Prod 108</t>
  </si>
  <si>
    <t>Arg-Nike-Prod 115</t>
  </si>
  <si>
    <t>Arg-QUALCOMM-Prod 116</t>
  </si>
  <si>
    <t>Arg-AutoZone-Prod 118</t>
  </si>
  <si>
    <t>Arg-Home Depot-Prod 124</t>
  </si>
  <si>
    <t>Arg-Nvidia-Prod 137</t>
  </si>
  <si>
    <t>Arg-QUALCOMM-Prod 148</t>
  </si>
  <si>
    <t>Arg-AutoZone-Prod 159</t>
  </si>
  <si>
    <t>Arg-QUALCOMM-Prod 169</t>
  </si>
  <si>
    <t>Arg-AutoZone-Prod 189</t>
  </si>
  <si>
    <t>Arg-Nike-Prod 191</t>
  </si>
  <si>
    <t>Arg-QUALCOMM-Prod 192</t>
  </si>
  <si>
    <t>Arg-Home Depot-Prod 206</t>
  </si>
  <si>
    <t>Arg-Nvidia-Prod 222</t>
  </si>
  <si>
    <t>Arg-Nvidia-Prod 227</t>
  </si>
  <si>
    <t>Arg-Nvidia-Prod 247</t>
  </si>
  <si>
    <t>Arg-QUALCOMM-Prod 253</t>
  </si>
  <si>
    <t>Arg-Home Depot-Prod 262</t>
  </si>
  <si>
    <t>Arg-Hasbro-Prod 272</t>
  </si>
  <si>
    <t>Arg-Nvidia-Prod 275</t>
  </si>
  <si>
    <t>Arg-Nvidia-Prod 277</t>
  </si>
  <si>
    <t>Arg-Nvidia-Prod 283</t>
  </si>
  <si>
    <t>Arg-AutoZone-Prod 302</t>
  </si>
  <si>
    <t>Arg-AutoZone-Prod 308</t>
  </si>
  <si>
    <t>Arg-AutoZone-Prod 310</t>
  </si>
  <si>
    <t>Arg-Hasbro-Prod 315</t>
  </si>
  <si>
    <t>Arg-Nvidia-Prod 321</t>
  </si>
  <si>
    <t>Arg-Hasbro-Prod 322</t>
  </si>
  <si>
    <t>Arg-Hasbro-Prod 323</t>
  </si>
  <si>
    <t>Arg-QUALCOMM-Prod 324</t>
  </si>
  <si>
    <t>Arg-AutoZone-Prod 330</t>
  </si>
  <si>
    <t>Arg-Adidas-Prod 367</t>
  </si>
  <si>
    <t>Arg-Nike-Prod 373</t>
  </si>
  <si>
    <t>Arg-AutoZone-Prod 385</t>
  </si>
  <si>
    <t>Arg-Hasbro-Prod 389</t>
  </si>
  <si>
    <t>Arg-Hasbro-Prod 393</t>
  </si>
  <si>
    <t>Arg-Adidas-Prod 394</t>
  </si>
  <si>
    <t>Arg-Adidas-Prod 400</t>
  </si>
  <si>
    <t>Arg-AutoZone-Prod 404</t>
  </si>
  <si>
    <t>Arg-QUALCOMM-Prod 407</t>
  </si>
  <si>
    <t>Arg-Nike-Prod 409</t>
  </si>
  <si>
    <t>Arg-Nike-Prod 410</t>
  </si>
  <si>
    <t>Arg-Nvidia-Prod 411</t>
  </si>
  <si>
    <t>Arg-Hasbro-Prod 428</t>
  </si>
  <si>
    <t>Arg-Adidas-Prod 431</t>
  </si>
  <si>
    <t>Arg-Nike-Prod 433</t>
  </si>
  <si>
    <t>Arg-Adidas-Prod 443</t>
  </si>
  <si>
    <t>Arg-Adidas-Prod 450</t>
  </si>
  <si>
    <t>Arg-Nvidia-Prod 473</t>
  </si>
  <si>
    <t>Arg-Nike-Prod 475</t>
  </si>
  <si>
    <t>Arg-QUALCOMM-Prod 481</t>
  </si>
  <si>
    <t>Arg-Hasbro-Prod 484</t>
  </si>
  <si>
    <t>Arg-Home Depot-Prod 493</t>
  </si>
  <si>
    <t>Arg-Home Depot-Prod 504</t>
  </si>
  <si>
    <t>Arg-Hasbro-Prod 506</t>
  </si>
  <si>
    <t>Arg-Nike-Prod 516</t>
  </si>
  <si>
    <t>Arg-Adidas-Prod 523</t>
  </si>
  <si>
    <t>Arg-Home Depot-Prod 526</t>
  </si>
  <si>
    <t>Arg-QUALCOMM-Prod 534</t>
  </si>
  <si>
    <t>Arg-Hasbro-Prod 536</t>
  </si>
  <si>
    <t>Arg-Nvidia-Prod 538</t>
  </si>
  <si>
    <t>Arg-QUALCOMM-Prod 544</t>
  </si>
  <si>
    <t>Arg-Home Depot-Prod 548</t>
  </si>
  <si>
    <t>Arg-Nike-Prod 549</t>
  </si>
  <si>
    <t>Arg-Adidas-Prod 554</t>
  </si>
  <si>
    <t>Arg-Nike-Prod 563</t>
  </si>
  <si>
    <t>Arg-Adidas-Prod 575</t>
  </si>
  <si>
    <t>Arg-Nvidia-Prod 578</t>
  </si>
  <si>
    <t>Arg-QUALCOMM-Prod 593</t>
  </si>
  <si>
    <t>Arg-Nike-Prod 598</t>
  </si>
  <si>
    <t>Arg-Home Depot-Prod 603</t>
  </si>
  <si>
    <t>Arg-Hasbro-Prod 648</t>
  </si>
  <si>
    <t>Arg-Nvidia-Prod 659</t>
  </si>
  <si>
    <t>Arg-Home Depot-Prod 671</t>
  </si>
  <si>
    <t>Arg-QUALCOMM-Prod 677</t>
  </si>
  <si>
    <t>Arg-Nike-Prod 678</t>
  </si>
  <si>
    <t>Arg-QUALCOMM-Prod 680</t>
  </si>
  <si>
    <t>Arg-QUALCOMM-Prod 684</t>
  </si>
  <si>
    <t>Arg-Hasbro-Prod 685</t>
  </si>
  <si>
    <t>Arg-Adidas-Prod 695</t>
  </si>
  <si>
    <t>Arg-Home Depot-Prod 699</t>
  </si>
  <si>
    <t>Arg-Home Depot-Prod 709</t>
  </si>
  <si>
    <t>Arg-Nike-Prod 719</t>
  </si>
  <si>
    <t>Arg-Hasbro-Prod 723</t>
  </si>
  <si>
    <t>Arg-Nike-Prod 728</t>
  </si>
  <si>
    <t>Arg-Adidas-Prod 729</t>
  </si>
  <si>
    <t>Arg-Home Depot-Prod 736</t>
  </si>
  <si>
    <t>Arg-QUALCOMM-Prod 763</t>
  </si>
  <si>
    <t>Arg-QUALCOMM-Prod 770</t>
  </si>
  <si>
    <t>Arg-Hasbro-Prod 778</t>
  </si>
  <si>
    <t>Arg-QUALCOMM-Prod 783</t>
  </si>
  <si>
    <t>Arg-AutoZone-Prod 784</t>
  </si>
  <si>
    <t>Arg-AutoZone-Prod 788</t>
  </si>
  <si>
    <t>Arg-Home Depot-Prod 795</t>
  </si>
  <si>
    <t>Arg-Adidas-Prod 800</t>
  </si>
  <si>
    <t>Arg-Nvidia-Prod 801</t>
  </si>
  <si>
    <t>Arg-Adidas-Prod 803</t>
  </si>
  <si>
    <t>Arg-Adidas-Prod 805</t>
  </si>
  <si>
    <t>República Popular China</t>
  </si>
  <si>
    <t>Suma total</t>
  </si>
  <si>
    <t>Total de valor</t>
  </si>
  <si>
    <t>Segmento</t>
  </si>
  <si>
    <t>Ropa deportiva</t>
  </si>
  <si>
    <t>Juguetería</t>
  </si>
  <si>
    <t>Refacciones autos</t>
  </si>
  <si>
    <t>Software</t>
  </si>
  <si>
    <t>Hogar</t>
  </si>
  <si>
    <t>Categoría</t>
  </si>
  <si>
    <t>Mínimo</t>
  </si>
  <si>
    <t>Máximo</t>
  </si>
  <si>
    <t>Crítico</t>
  </si>
  <si>
    <t>Aceptable</t>
  </si>
  <si>
    <t>-</t>
  </si>
  <si>
    <t>SUMA AVANZADA</t>
  </si>
  <si>
    <t>Suma avanzada</t>
  </si>
  <si>
    <t>▪ Sumar normal
▪ Sumar con 1 condición y múltiples condiciones</t>
  </si>
  <si>
    <t>Aprende a utilizar BUSCARV</t>
  </si>
  <si>
    <t>▪ Uso de BUSCARV</t>
  </si>
  <si>
    <t>BUSCARV 2</t>
  </si>
  <si>
    <t>▪ Uso de BUSCARV desde un ángulo diferente</t>
  </si>
  <si>
    <t>Al terminar de llenar el formulario, oficialmente ya tendrás tu insignia 1</t>
  </si>
  <si>
    <t>Al finalizar el formulario, automáticamente tendrás la INSIGNIA 1</t>
  </si>
  <si>
    <t>https://forms.gle/QefrKYepzUsBKb299</t>
  </si>
  <si>
    <t>https://forms.office.com/r/scLBRjgeZx</t>
  </si>
  <si>
    <t>Señalar una columna</t>
  </si>
  <si>
    <t>CTRL + ESPACIADOR</t>
  </si>
  <si>
    <t>Señalar una fila</t>
  </si>
  <si>
    <t>MAYÚS + ESPACIADOR</t>
  </si>
  <si>
    <t>Ejercicio: Crea una columna nueva llamada "Segmento" para registrar el segmento basado en la marca del producto</t>
  </si>
  <si>
    <t>Suma Total</t>
  </si>
  <si>
    <t>Suma por Marca</t>
  </si>
  <si>
    <t>Suma por Marca y Origen</t>
  </si>
  <si>
    <t>Encontrar la Marca y Valor basado en el producto seleccionado</t>
  </si>
  <si>
    <t>Pon los atajos en práctica aquí</t>
  </si>
  <si>
    <t>Empleado</t>
  </si>
  <si>
    <t>Ventas</t>
  </si>
  <si>
    <t>Bono Buscarv</t>
  </si>
  <si>
    <t>María</t>
  </si>
  <si>
    <t>Pedro</t>
  </si>
  <si>
    <t>Laura</t>
  </si>
  <si>
    <t>Andrés</t>
  </si>
  <si>
    <t>Ana</t>
  </si>
  <si>
    <t>Carlos</t>
  </si>
  <si>
    <t>Sofía</t>
  </si>
  <si>
    <t>Diego</t>
  </si>
  <si>
    <t>Valentina</t>
  </si>
  <si>
    <t>Luis</t>
  </si>
  <si>
    <t>Gabriela</t>
  </si>
  <si>
    <t>Martín</t>
  </si>
  <si>
    <t>Natalia</t>
  </si>
  <si>
    <t>Ricardo</t>
  </si>
  <si>
    <t>Andrea</t>
  </si>
  <si>
    <t>Daniel</t>
  </si>
  <si>
    <t>Carolina</t>
  </si>
  <si>
    <t>Sergio</t>
  </si>
  <si>
    <t>Isabella</t>
  </si>
  <si>
    <t>Juan</t>
  </si>
  <si>
    <t>BÚSQUEDA APROXIMADA</t>
  </si>
  <si>
    <t>Bono basado en ventas</t>
  </si>
  <si>
    <t>Bono</t>
  </si>
  <si>
    <t>BUSCARV APROXIMADO</t>
  </si>
  <si>
    <t>▪ Uso de BUSCARV con búsqueda APROXIMADA</t>
  </si>
  <si>
    <t>SOLICITA TU INSIGNIA AQUÍ</t>
  </si>
  <si>
    <t>CLIC AQUÍ PARA SOLICITAR TU INSIGNIA</t>
  </si>
  <si>
    <t>Consigue tu insignia 1 🎖️</t>
  </si>
  <si>
    <t>Dias Transcurridos</t>
  </si>
  <si>
    <t>Código Etiqueta</t>
  </si>
  <si>
    <t>(Validacion de datos)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</si>
</sst>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* #,##0.00_);_(* \(#,##0.00\);_(* &quot;-&quot;??_);_(@_)"/>
    <numFmt numFmtId="165" formatCode="_([$$-409]* #,##0.00_);_([$$-409]* \(#,##0.00\);_([$$-409]* &quot;-&quot;??_);_(@_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6"/>
      <color theme="0"/>
      <name val="Calibri"/>
      <family val="2"/>
    </font>
    <font>
      <b/>
      <sz val="28"/>
      <color theme="0"/>
      <name val="Calibri"/>
      <family val="2"/>
    </font>
    <font>
      <sz val="11"/>
      <color theme="0"/>
      <name val="Calibri"/>
      <family val="2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 tint="4.9989318521683403E-2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0"/>
      <name val="Arial"/>
      <family val="2"/>
    </font>
    <font>
      <sz val="9"/>
      <color theme="1"/>
      <name val="Arial"/>
      <family val="2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sz val="18"/>
      <color theme="1"/>
      <name val="Calibri"/>
      <family val="2"/>
      <scheme val="minor"/>
    </font>
    <font>
      <b/>
      <u/>
      <sz val="12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E4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2A3E68"/>
        <bgColor rgb="FF2A3E68"/>
      </patternFill>
    </fill>
    <fill>
      <patternFill patternType="solid">
        <fgColor rgb="FFD2DEEE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18136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3" fillId="0" borderId="0"/>
    <xf numFmtId="0" fontId="8" fillId="0" borderId="0" applyNumberForma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6" fillId="0" borderId="0"/>
  </cellStyleXfs>
  <cellXfs count="8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wrapText="1"/>
    </xf>
    <xf numFmtId="0" fontId="9" fillId="3" borderId="2" xfId="0" applyFont="1" applyFill="1" applyBorder="1"/>
    <xf numFmtId="0" fontId="9" fillId="3" borderId="2" xfId="0" applyFont="1" applyFill="1" applyBorder="1" applyAlignment="1">
      <alignment wrapText="1"/>
    </xf>
    <xf numFmtId="0" fontId="10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0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wrapText="1"/>
    </xf>
    <xf numFmtId="0" fontId="8" fillId="0" borderId="0" xfId="2"/>
    <xf numFmtId="0" fontId="9" fillId="0" borderId="2" xfId="0" applyFont="1" applyBorder="1" applyAlignment="1">
      <alignment wrapText="1"/>
    </xf>
    <xf numFmtId="0" fontId="10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5" fillId="6" borderId="0" xfId="0" applyFont="1" applyFill="1" applyAlignment="1">
      <alignment vertical="center"/>
    </xf>
    <xf numFmtId="0" fontId="16" fillId="6" borderId="0" xfId="0" applyFont="1" applyFill="1"/>
    <xf numFmtId="0" fontId="17" fillId="0" borderId="6" xfId="0" applyFont="1" applyBorder="1"/>
    <xf numFmtId="0" fontId="0" fillId="0" borderId="6" xfId="0" applyBorder="1"/>
    <xf numFmtId="0" fontId="6" fillId="0" borderId="6" xfId="0" applyFont="1" applyBorder="1"/>
    <xf numFmtId="0" fontId="5" fillId="0" borderId="0" xfId="0" applyFont="1"/>
    <xf numFmtId="165" fontId="0" fillId="0" borderId="0" xfId="0" applyNumberFormat="1"/>
    <xf numFmtId="0" fontId="19" fillId="3" borderId="5" xfId="0" applyFont="1" applyFill="1" applyBorder="1" applyAlignment="1">
      <alignment vertical="center"/>
    </xf>
    <xf numFmtId="14" fontId="0" fillId="0" borderId="0" xfId="0" applyNumberFormat="1"/>
    <xf numFmtId="1" fontId="0" fillId="0" borderId="0" xfId="0" applyNumberFormat="1"/>
    <xf numFmtId="0" fontId="20" fillId="0" borderId="0" xfId="0" applyFont="1"/>
    <xf numFmtId="0" fontId="20" fillId="0" borderId="0" xfId="0" applyFont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0" fillId="7" borderId="0" xfId="0" applyFont="1" applyFill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" fontId="2" fillId="0" borderId="1" xfId="0" applyNumberFormat="1" applyFont="1" applyBorder="1" applyAlignment="1">
      <alignment horizontal="right"/>
    </xf>
    <xf numFmtId="1" fontId="2" fillId="0" borderId="1" xfId="0" applyNumberFormat="1" applyFont="1" applyBorder="1" applyAlignment="1">
      <alignment horizontal="center"/>
    </xf>
    <xf numFmtId="0" fontId="23" fillId="0" borderId="0" xfId="0" applyFont="1" applyAlignment="1">
      <alignment horizontal="left" vertical="center" wrapText="1"/>
    </xf>
    <xf numFmtId="0" fontId="23" fillId="7" borderId="0" xfId="0" applyFont="1" applyFill="1" applyAlignment="1">
      <alignment horizontal="left" vertical="center" wrapText="1"/>
    </xf>
    <xf numFmtId="0" fontId="19" fillId="3" borderId="5" xfId="0" applyFont="1" applyFill="1" applyBorder="1"/>
    <xf numFmtId="0" fontId="19" fillId="8" borderId="5" xfId="0" applyFont="1" applyFill="1" applyBorder="1" applyAlignment="1">
      <alignment vertical="center"/>
    </xf>
    <xf numFmtId="0" fontId="21" fillId="8" borderId="7" xfId="0" applyFont="1" applyFill="1" applyBorder="1" applyAlignment="1">
      <alignment vertical="center" textRotation="135"/>
    </xf>
    <xf numFmtId="0" fontId="21" fillId="8" borderId="0" xfId="0" applyFont="1" applyFill="1" applyAlignment="1">
      <alignment vertical="center" textRotation="135"/>
    </xf>
    <xf numFmtId="0" fontId="22" fillId="8" borderId="6" xfId="0" applyFont="1" applyFill="1" applyBorder="1" applyAlignment="1">
      <alignment vertical="center"/>
    </xf>
    <xf numFmtId="0" fontId="8" fillId="0" borderId="3" xfId="2" applyBorder="1" applyAlignment="1">
      <alignment horizontal="left" vertical="center" wrapText="1"/>
    </xf>
    <xf numFmtId="0" fontId="8" fillId="0" borderId="2" xfId="2" applyBorder="1" applyAlignment="1">
      <alignment horizontal="left" vertical="center"/>
    </xf>
    <xf numFmtId="0" fontId="8" fillId="0" borderId="0" xfId="2" applyBorder="1" applyAlignment="1">
      <alignment horizontal="left" vertical="center"/>
    </xf>
    <xf numFmtId="0" fontId="14" fillId="6" borderId="0" xfId="0" applyFont="1" applyFill="1" applyAlignment="1" applyProtection="1">
      <alignment vertical="center"/>
      <protection locked="0"/>
    </xf>
    <xf numFmtId="0" fontId="24" fillId="0" borderId="0" xfId="0" applyFont="1"/>
    <xf numFmtId="0" fontId="8" fillId="0" borderId="0" xfId="2" applyAlignment="1">
      <alignment vertical="center"/>
    </xf>
    <xf numFmtId="0" fontId="5" fillId="0" borderId="0" xfId="0" applyFont="1" applyAlignment="1">
      <alignment vertical="center" wrapText="1"/>
    </xf>
    <xf numFmtId="0" fontId="0" fillId="9" borderId="0" xfId="0" applyFill="1"/>
    <xf numFmtId="164" fontId="0" fillId="0" borderId="1" xfId="4" applyFont="1" applyBorder="1"/>
    <xf numFmtId="0" fontId="0" fillId="0" borderId="4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1" fillId="5" borderId="0" xfId="0" applyFont="1" applyFill="1"/>
    <xf numFmtId="0" fontId="4" fillId="5" borderId="0" xfId="0" applyFont="1" applyFill="1"/>
    <xf numFmtId="0" fontId="7" fillId="5" borderId="0" xfId="0" applyFont="1" applyFill="1"/>
    <xf numFmtId="0" fontId="6" fillId="2" borderId="0" xfId="0" applyFont="1" applyFill="1"/>
    <xf numFmtId="0" fontId="4" fillId="4" borderId="0" xfId="0" applyFont="1" applyFill="1"/>
    <xf numFmtId="165" fontId="4" fillId="4" borderId="0" xfId="0" applyNumberFormat="1" applyFont="1" applyFill="1"/>
    <xf numFmtId="0" fontId="4" fillId="4" borderId="1" xfId="0" applyFont="1" applyFill="1" applyBorder="1"/>
    <xf numFmtId="0" fontId="4" fillId="4" borderId="0" xfId="0" applyFont="1" applyFill="1" applyAlignment="1">
      <alignment horizontal="left"/>
    </xf>
    <xf numFmtId="0" fontId="18" fillId="0" borderId="10" xfId="0" applyFont="1" applyBorder="1" applyAlignment="1">
      <alignment horizontal="center" vertical="center"/>
    </xf>
    <xf numFmtId="165" fontId="0" fillId="0" borderId="1" xfId="0" applyNumberFormat="1" applyBorder="1"/>
    <xf numFmtId="0" fontId="0" fillId="10" borderId="0" xfId="0" applyFill="1"/>
    <xf numFmtId="0" fontId="0" fillId="10" borderId="0" xfId="0" applyFill="1" applyAlignment="1">
      <alignment horizontal="left" vertical="top"/>
    </xf>
    <xf numFmtId="0" fontId="25" fillId="0" borderId="0" xfId="0" applyFont="1"/>
    <xf numFmtId="0" fontId="9" fillId="0" borderId="6" xfId="0" applyFont="1" applyBorder="1"/>
    <xf numFmtId="0" fontId="0" fillId="0" borderId="2" xfId="0" applyBorder="1" applyAlignment="1">
      <alignment horizontal="left" vertical="center" wrapText="1"/>
    </xf>
    <xf numFmtId="0" fontId="5" fillId="9" borderId="6" xfId="0" applyFont="1" applyFill="1" applyBorder="1"/>
    <xf numFmtId="1" fontId="0" fillId="0" borderId="0" xfId="5" applyNumberFormat="1" applyFont="1"/>
    <xf numFmtId="44" fontId="0" fillId="0" borderId="0" xfId="5" applyFont="1"/>
    <xf numFmtId="0" fontId="10" fillId="0" borderId="2" xfId="0" applyFont="1" applyBorder="1" applyAlignment="1">
      <alignment horizontal="left" vertical="center" wrapText="1"/>
    </xf>
    <xf numFmtId="0" fontId="0" fillId="3" borderId="0" xfId="0" applyFill="1"/>
    <xf numFmtId="0" fontId="0" fillId="0" borderId="1" xfId="0" applyBorder="1" applyAlignment="1">
      <alignment horizontal="center"/>
    </xf>
    <xf numFmtId="44" fontId="0" fillId="0" borderId="1" xfId="5" applyFont="1" applyBorder="1" applyAlignment="1">
      <alignment horizontal="center"/>
    </xf>
    <xf numFmtId="0" fontId="27" fillId="0" borderId="0" xfId="0" applyFont="1"/>
    <xf numFmtId="0" fontId="9" fillId="0" borderId="0" xfId="0" applyFont="1"/>
    <xf numFmtId="0" fontId="28" fillId="0" borderId="0" xfId="2" applyFont="1"/>
    <xf numFmtId="0" fontId="20" fillId="11" borderId="0" xfId="0" applyFont="1" applyFill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11" fillId="4" borderId="8" xfId="0" applyFont="1" applyFill="1" applyBorder="1" applyAlignment="1">
      <alignment horizontal="center"/>
    </xf>
    <xf numFmtId="0" fontId="11" fillId="4" borderId="9" xfId="0" applyFont="1" applyFill="1" applyBorder="1" applyAlignment="1">
      <alignment horizontal="center"/>
    </xf>
    <xf numFmtId="1" fontId="7" fillId="5" borderId="0" xfId="0" applyNumberFormat="1" applyFont="1" applyFill="1"/>
    <xf numFmtId="2" fontId="0" fillId="0" borderId="1" xfId="4" applyNumberFormat="1" applyFont="1" applyBorder="1"/>
  </cellXfs>
  <cellStyles count="9">
    <cellStyle name="Hipervínculo" xfId="2" builtinId="8"/>
    <cellStyle name="Millares" xfId="4" builtinId="3"/>
    <cellStyle name="Millares 2" xfId="6" xr:uid="{B9111727-049E-4B71-82A7-16E1BAB6B5E2}"/>
    <cellStyle name="Moneda" xfId="5" builtinId="4"/>
    <cellStyle name="Normal" xfId="0" builtinId="0"/>
    <cellStyle name="Normal 2" xfId="1" xr:uid="{64DF0FDF-9073-463A-9BA4-853180CCECB0}"/>
    <cellStyle name="Normal 2 2" xfId="3" xr:uid="{CB819B6B-6444-4019-B2B1-90EF217AFD3B}"/>
    <cellStyle name="Normal 3" xfId="7" xr:uid="{A439A0C9-9EC9-45A2-9ED4-79BE3BD5C614}"/>
    <cellStyle name="Normal 5 2" xfId="8" xr:uid="{12995CB5-D2C7-49AE-9CB6-61F1A9096491}"/>
  </cellStyles>
  <dxfs count="1">
    <dxf>
      <font>
        <strike/>
        <color theme="0" tint="-0.499984740745262"/>
      </font>
      <fill>
        <patternFill patternType="none">
          <bgColor auto="1"/>
        </patternFill>
      </fill>
    </dxf>
  </dxfs>
  <tableStyles count="1" defaultTableStyle="TableStyleMedium2" defaultPivotStyle="PivotStyleLight16">
    <tableStyle name="Invisible" pivot="0" table="0" count="0" xr9:uid="{60353ECC-5521-4C2F-A9F2-8808AAD55B42}"/>
  </tableStyles>
  <colors>
    <mruColors>
      <color rgb="FF009E47"/>
      <color rgb="FF0070C0"/>
      <color rgb="FF007434"/>
      <color rgb="FF018136"/>
      <color rgb="FF000000"/>
      <color rgb="FF0E568B"/>
      <color rgb="FF09FF78"/>
      <color rgb="FFB9FFD9"/>
      <color rgb="FF088614"/>
      <color rgb="FF0042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microsoft.com/office/2017/06/relationships/rdSupportingPropertyBagStructure" Target="richData/rdsupportingpropertybagstructure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microsoft.com/office/2020/07/relationships/rdRichValueWebImage" Target="richData/rdRichValueWebImage.xml"/><Relationship Id="rId20" Type="http://schemas.microsoft.com/office/2017/06/relationships/richStyles" Target="richData/rich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microsoft.com/office/2017/06/relationships/rdArray" Target="richData/rdarray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22" Type="http://schemas.microsoft.com/office/2017/06/relationships/rdSupportingPropertyBag" Target="richData/rdsupportingpropertybag.xml"/></Relationships>
</file>

<file path=xl/ctrlProps/ctrlProp1.xml><?xml version="1.0" encoding="utf-8"?>
<formControlPr xmlns="http://schemas.microsoft.com/office/spreadsheetml/2009/9/main" objectType="CheckBox" checked="Checked" fmlaLink="$A$3" lockText="1" noThreeD="1"/>
</file>

<file path=xl/ctrlProps/ctrlProp2.xml><?xml version="1.0" encoding="utf-8"?>
<formControlPr xmlns="http://schemas.microsoft.com/office/spreadsheetml/2009/9/main" objectType="CheckBox" checked="Checked" fmlaLink="$A$4" lockText="1" noThreeD="1"/>
</file>

<file path=xl/ctrlProps/ctrlProp3.xml><?xml version="1.0" encoding="utf-8"?>
<formControlPr xmlns="http://schemas.microsoft.com/office/spreadsheetml/2009/9/main" objectType="CheckBox" checked="Checked" fmlaLink="$A$5" lockText="1" noThreeD="1"/>
</file>

<file path=xl/ctrlProps/ctrlProp4.xml><?xml version="1.0" encoding="utf-8"?>
<formControlPr xmlns="http://schemas.microsoft.com/office/spreadsheetml/2009/9/main" objectType="CheckBox" checked="Checked" fmlaLink="$A$6" lockText="1" noThreeD="1"/>
</file>

<file path=xl/ctrlProps/ctrlProp5.xml><?xml version="1.0" encoding="utf-8"?>
<formControlPr xmlns="http://schemas.microsoft.com/office/spreadsheetml/2009/9/main" objectType="CheckBox" checked="Checked" fmlaLink="$A$7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hyperlink" Target="https://youtube.com/live/kNRHguwdEM0?feature=share" TargetMode="External"/><Relationship Id="rId7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image" Target="../media/image3.jpeg"/><Relationship Id="rId4" Type="http://schemas.openxmlformats.org/officeDocument/2006/relationships/hyperlink" Target="https://api.whatsapp.com/send?phone=5215651774340&amp;text=Quiero%20unirme%20al%20grupo%20de%20la%20Semana%20Excel%20Imparable" TargetMode="External"/><Relationship Id="rId9" Type="http://schemas.openxmlformats.org/officeDocument/2006/relationships/image" Target="../media/image7.sv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sv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124237</xdr:colOff>
      <xdr:row>8</xdr:row>
      <xdr:rowOff>49695</xdr:rowOff>
    </xdr:from>
    <xdr:to>
      <xdr:col>2</xdr:col>
      <xdr:colOff>430694</xdr:colOff>
      <xdr:row>10</xdr:row>
      <xdr:rowOff>132521</xdr:rowOff>
    </xdr:to>
    <xdr:sp macro="" textlink="">
      <xdr:nvSpPr>
        <xdr:cNvPr id="2" name="Diagrama de flujo: co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24237" y="49695"/>
          <a:ext cx="637761" cy="463826"/>
        </a:xfrm>
        <a:prstGeom prst="flowChartConnector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2</xdr:col>
      <xdr:colOff>1331637</xdr:colOff>
      <xdr:row>8</xdr:row>
      <xdr:rowOff>108503</xdr:rowOff>
    </xdr:from>
    <xdr:ext cx="1894365" cy="405432"/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135050" y="1632503"/>
          <a:ext cx="189436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2000" b="1">
              <a:solidFill>
                <a:schemeClr val="bg1"/>
              </a:solidFill>
            </a:rPr>
            <a:t>Que aprenderás</a:t>
          </a:r>
        </a:p>
      </xdr:txBody>
    </xdr:sp>
    <xdr:clientData/>
  </xdr:oneCellAnchor>
  <xdr:oneCellAnchor>
    <xdr:from>
      <xdr:col>4</xdr:col>
      <xdr:colOff>123825</xdr:colOff>
      <xdr:row>8</xdr:row>
      <xdr:rowOff>61913</xdr:rowOff>
    </xdr:from>
    <xdr:ext cx="3133725" cy="468013"/>
    <xdr:sp macro="" textlink="">
      <xdr:nvSpPr>
        <xdr:cNvPr id="4" name="TextBox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867150" y="61913"/>
          <a:ext cx="3133725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2400" b="1">
              <a:solidFill>
                <a:schemeClr val="bg1"/>
              </a:solidFill>
            </a:rPr>
            <a:t>Mejora el uso de Excel</a:t>
          </a:r>
        </a:p>
      </xdr:txBody>
    </xdr:sp>
    <xdr:clientData/>
  </xdr:oneCellAnchor>
  <xdr:twoCellAnchor editAs="oneCell">
    <xdr:from>
      <xdr:col>1</xdr:col>
      <xdr:colOff>115957</xdr:colOff>
      <xdr:row>8</xdr:row>
      <xdr:rowOff>52039</xdr:rowOff>
    </xdr:from>
    <xdr:to>
      <xdr:col>2</xdr:col>
      <xdr:colOff>440162</xdr:colOff>
      <xdr:row>10</xdr:row>
      <xdr:rowOff>147431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57" y="52039"/>
          <a:ext cx="486130" cy="476392"/>
        </a:xfrm>
        <a:prstGeom prst="rect">
          <a:avLst/>
        </a:prstGeom>
      </xdr:spPr>
    </xdr:pic>
    <xdr:clientData/>
  </xdr:twoCellAnchor>
  <xdr:oneCellAnchor>
    <xdr:from>
      <xdr:col>7</xdr:col>
      <xdr:colOff>207064</xdr:colOff>
      <xdr:row>12</xdr:row>
      <xdr:rowOff>49695</xdr:rowOff>
    </xdr:from>
    <xdr:ext cx="5342283" cy="530658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843629" y="2335695"/>
          <a:ext cx="5342283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419" sz="1400" b="1"/>
            <a:t>DASHBOARD VENDEDORES - Al</a:t>
          </a:r>
          <a:r>
            <a:rPr lang="es-419" sz="1400" b="1" baseline="0"/>
            <a:t> final de esta semana serás capaz de crear este gran Dashboard sin salir de Excel.</a:t>
          </a:r>
          <a:endParaRPr lang="es-419" sz="1400" b="1"/>
        </a:p>
      </xdr:txBody>
    </xdr:sp>
    <xdr:clientData/>
  </xdr:oneCellAnchor>
  <xdr:twoCellAnchor editAs="oneCell">
    <xdr:from>
      <xdr:col>1</xdr:col>
      <xdr:colOff>41414</xdr:colOff>
      <xdr:row>0</xdr:row>
      <xdr:rowOff>74543</xdr:rowOff>
    </xdr:from>
    <xdr:to>
      <xdr:col>2</xdr:col>
      <xdr:colOff>1308652</xdr:colOff>
      <xdr:row>3</xdr:row>
      <xdr:rowOff>41809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175" y="74543"/>
          <a:ext cx="1432890" cy="538766"/>
        </a:xfrm>
        <a:prstGeom prst="rect">
          <a:avLst/>
        </a:prstGeom>
      </xdr:spPr>
    </xdr:pic>
    <xdr:clientData/>
  </xdr:twoCellAnchor>
  <xdr:oneCellAnchor>
    <xdr:from>
      <xdr:col>2</xdr:col>
      <xdr:colOff>1383194</xdr:colOff>
      <xdr:row>0</xdr:row>
      <xdr:rowOff>107675</xdr:rowOff>
    </xdr:from>
    <xdr:ext cx="5690154" cy="468013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888433" y="107675"/>
          <a:ext cx="5690154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419" sz="2400" b="1"/>
            <a:t>CLASE 1 - MARTES 04 DE NOVIEMBRE</a:t>
          </a:r>
        </a:p>
      </xdr:txBody>
    </xdr:sp>
    <xdr:clientData/>
  </xdr:oneCellAnchor>
  <xdr:twoCellAnchor editAs="absolute">
    <xdr:from>
      <xdr:col>0</xdr:col>
      <xdr:colOff>0</xdr:colOff>
      <xdr:row>3</xdr:row>
      <xdr:rowOff>66260</xdr:rowOff>
    </xdr:from>
    <xdr:to>
      <xdr:col>7</xdr:col>
      <xdr:colOff>240196</xdr:colOff>
      <xdr:row>6</xdr:row>
      <xdr:rowOff>85311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637760"/>
          <a:ext cx="7876761" cy="590551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 fLocksWithSheet="0"/>
  </xdr:twoCellAnchor>
  <xdr:twoCellAnchor>
    <xdr:from>
      <xdr:col>3</xdr:col>
      <xdr:colOff>830839</xdr:colOff>
      <xdr:row>3</xdr:row>
      <xdr:rowOff>107674</xdr:rowOff>
    </xdr:from>
    <xdr:to>
      <xdr:col>3</xdr:col>
      <xdr:colOff>830839</xdr:colOff>
      <xdr:row>6</xdr:row>
      <xdr:rowOff>35550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3555817" y="679174"/>
          <a:ext cx="0" cy="499376"/>
        </a:xfrm>
        <a:prstGeom prst="line">
          <a:avLst/>
        </a:prstGeom>
        <a:ln>
          <a:solidFill>
            <a:srgbClr val="1D6F4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8283</xdr:colOff>
      <xdr:row>3</xdr:row>
      <xdr:rowOff>125462</xdr:rowOff>
    </xdr:from>
    <xdr:to>
      <xdr:col>3</xdr:col>
      <xdr:colOff>654326</xdr:colOff>
      <xdr:row>6</xdr:row>
      <xdr:rowOff>20687</xdr:rowOff>
    </xdr:to>
    <xdr:sp macro="" textlink="">
      <xdr:nvSpPr>
        <xdr:cNvPr id="19" name="Rectángulo: esquinas redondeadas 1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646044" y="696962"/>
          <a:ext cx="2733260" cy="466725"/>
        </a:xfrm>
        <a:prstGeom prst="roundRect">
          <a:avLst/>
        </a:prstGeom>
        <a:solidFill>
          <a:srgbClr val="1D6F42"/>
        </a:solidFill>
        <a:ln w="28575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1100" b="1" baseline="0"/>
            <a:t>ACTIVA EL RECORDATORIO DE LA CLASE</a:t>
          </a:r>
          <a:endParaRPr lang="es-MX" sz="1100" b="1"/>
        </a:p>
        <a:p>
          <a:pPr algn="ctr"/>
          <a:r>
            <a:rPr lang="es-MX" sz="1000" b="0"/>
            <a:t>DA</a:t>
          </a:r>
          <a:r>
            <a:rPr lang="es-MX" sz="1000" b="0" baseline="0"/>
            <a:t> CLIC AQUÍ</a:t>
          </a:r>
          <a:endParaRPr lang="es-MX" sz="1000" b="0"/>
        </a:p>
      </xdr:txBody>
    </xdr:sp>
    <xdr:clientData/>
  </xdr:twoCellAnchor>
  <xdr:twoCellAnchor>
    <xdr:from>
      <xdr:col>3</xdr:col>
      <xdr:colOff>979006</xdr:colOff>
      <xdr:row>3</xdr:row>
      <xdr:rowOff>125462</xdr:rowOff>
    </xdr:from>
    <xdr:to>
      <xdr:col>4</xdr:col>
      <xdr:colOff>1579909</xdr:colOff>
      <xdr:row>6</xdr:row>
      <xdr:rowOff>20687</xdr:rowOff>
    </xdr:to>
    <xdr:sp macro="" textlink="">
      <xdr:nvSpPr>
        <xdr:cNvPr id="20" name="Rectángulo: esquinas redondeadas 1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3703984" y="696962"/>
          <a:ext cx="2257425" cy="466725"/>
        </a:xfrm>
        <a:prstGeom prst="roundRect">
          <a:avLst/>
        </a:prstGeom>
        <a:solidFill>
          <a:srgbClr val="1D6F42"/>
        </a:solidFill>
        <a:ln w="28575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1100" b="1" baseline="0"/>
            <a:t>ÚNETE AL GRUPO DE WHATSAPP</a:t>
          </a:r>
          <a:endParaRPr lang="es-MX" sz="1100" b="1"/>
        </a:p>
        <a:p>
          <a:pPr algn="ctr"/>
          <a:r>
            <a:rPr lang="es-MX" sz="1000" b="0"/>
            <a:t>DA</a:t>
          </a:r>
          <a:r>
            <a:rPr lang="es-MX" sz="1000" b="0" baseline="0"/>
            <a:t> CLIC AQUÍ</a:t>
          </a:r>
          <a:endParaRPr lang="es-MX" sz="1000" b="0"/>
        </a:p>
      </xdr:txBody>
    </xdr:sp>
    <xdr:clientData/>
  </xdr:twoCellAnchor>
  <xdr:twoCellAnchor editAs="oneCell">
    <xdr:from>
      <xdr:col>11</xdr:col>
      <xdr:colOff>339587</xdr:colOff>
      <xdr:row>0</xdr:row>
      <xdr:rowOff>74544</xdr:rowOff>
    </xdr:from>
    <xdr:to>
      <xdr:col>16</xdr:col>
      <xdr:colOff>564401</xdr:colOff>
      <xdr:row>11</xdr:row>
      <xdr:rowOff>151346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27196" y="74544"/>
          <a:ext cx="3413618" cy="2172302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7</xdr:col>
      <xdr:colOff>331305</xdr:colOff>
      <xdr:row>13</xdr:row>
      <xdr:rowOff>321134</xdr:rowOff>
    </xdr:from>
    <xdr:to>
      <xdr:col>16</xdr:col>
      <xdr:colOff>49696</xdr:colOff>
      <xdr:row>20</xdr:row>
      <xdr:rowOff>91111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35E2A2BC-316B-112D-85C2-927417AD8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7870" y="2847330"/>
          <a:ext cx="5458239" cy="2875955"/>
        </a:xfrm>
        <a:prstGeom prst="rect">
          <a:avLst/>
        </a:prstGeom>
      </xdr:spPr>
    </xdr:pic>
    <xdr:clientData/>
  </xdr:twoCellAnchor>
  <xdr:twoCellAnchor>
    <xdr:from>
      <xdr:col>4</xdr:col>
      <xdr:colOff>2824368</xdr:colOff>
      <xdr:row>0</xdr:row>
      <xdr:rowOff>74542</xdr:rowOff>
    </xdr:from>
    <xdr:to>
      <xdr:col>10</xdr:col>
      <xdr:colOff>538369</xdr:colOff>
      <xdr:row>7</xdr:row>
      <xdr:rowOff>91108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037FABFF-F00E-159F-D5C5-AD28D7FC9771}"/>
            </a:ext>
          </a:extLst>
        </xdr:cNvPr>
        <xdr:cNvGrpSpPr/>
      </xdr:nvGrpSpPr>
      <xdr:grpSpPr>
        <a:xfrm>
          <a:off x="7109238" y="74542"/>
          <a:ext cx="3440044" cy="1369392"/>
          <a:chOff x="5996607" y="91107"/>
          <a:chExt cx="3180523" cy="1350066"/>
        </a:xfrm>
      </xdr:grpSpPr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7F568204-1389-ECFF-C316-6F0E40B27E9D}"/>
              </a:ext>
            </a:extLst>
          </xdr:cNvPr>
          <xdr:cNvSpPr txBox="1"/>
        </xdr:nvSpPr>
        <xdr:spPr>
          <a:xfrm>
            <a:off x="5996607" y="389281"/>
            <a:ext cx="3180523" cy="1051892"/>
          </a:xfrm>
          <a:prstGeom prst="rect">
            <a:avLst/>
          </a:prstGeom>
          <a:solidFill>
            <a:schemeClr val="bg1"/>
          </a:solidFill>
          <a:ln w="28575">
            <a:solidFill>
              <a:srgbClr val="0070C0"/>
            </a:solidFill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lang="es-MX" sz="1200" b="1"/>
              <a:t>07:00 PM:</a:t>
            </a:r>
            <a:r>
              <a:rPr lang="es-MX" sz="1200" b="1" baseline="0"/>
              <a:t> </a:t>
            </a:r>
            <a:r>
              <a:rPr lang="es-MX" sz="1200" baseline="0"/>
              <a:t>México - Costa Rica - Guatemala</a:t>
            </a:r>
            <a:br>
              <a:rPr lang="es-MX" sz="1200" baseline="0"/>
            </a:br>
            <a:r>
              <a:rPr lang="es-MX" sz="1200" b="1" baseline="0"/>
              <a:t>08:00 PM</a:t>
            </a:r>
            <a:r>
              <a:rPr lang="es-MX" sz="1200" baseline="0"/>
              <a:t>: Colombia - Perú - Ecuador - Panamá</a:t>
            </a:r>
            <a:br>
              <a:rPr lang="es-MX" sz="1200" baseline="0"/>
            </a:br>
            <a:r>
              <a:rPr lang="es-MX" sz="1200" b="1" baseline="0"/>
              <a:t>09:00 PM: </a:t>
            </a:r>
            <a:r>
              <a:rPr lang="es-MX" sz="1200" baseline="0"/>
              <a:t>Bolivia - Venezuela</a:t>
            </a:r>
            <a:br>
              <a:rPr lang="es-MX" sz="1200" baseline="0"/>
            </a:br>
            <a:r>
              <a:rPr lang="es-MX" sz="1200" b="1" baseline="0"/>
              <a:t>10:00 PM: </a:t>
            </a:r>
            <a:r>
              <a:rPr lang="es-MX" sz="1200" baseline="0"/>
              <a:t>Argentina - Uruguay - </a:t>
            </a:r>
            <a:r>
              <a:rPr lang="es-MX" sz="11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Chile</a:t>
            </a:r>
            <a:endParaRPr lang="es-MX" sz="1200"/>
          </a:p>
        </xdr:txBody>
      </xdr:sp>
      <xdr:sp macro="" textlink="">
        <xdr:nvSpPr>
          <xdr:cNvPr id="25" name="Rectángulo 24">
            <a:extLst>
              <a:ext uri="{FF2B5EF4-FFF2-40B4-BE49-F238E27FC236}">
                <a16:creationId xmlns:a16="http://schemas.microsoft.com/office/drawing/2014/main" id="{BCBF401A-779F-44B3-A991-CD68DC3CE5BB}"/>
              </a:ext>
            </a:extLst>
          </xdr:cNvPr>
          <xdr:cNvSpPr/>
        </xdr:nvSpPr>
        <xdr:spPr>
          <a:xfrm>
            <a:off x="6452152" y="223630"/>
            <a:ext cx="2244587" cy="231913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s-MX" sz="1400" b="1">
                <a:solidFill>
                  <a:schemeClr val="accent2"/>
                </a:solidFill>
              </a:rPr>
              <a:t>MARTES 04 DE NOVIEMBRE</a:t>
            </a:r>
          </a:p>
        </xdr:txBody>
      </xdr:sp>
      <xdr:pic>
        <xdr:nvPicPr>
          <xdr:cNvPr id="28" name="Imagen 27" descr="emoji-timeline">
            <a:extLst>
              <a:ext uri="{FF2B5EF4-FFF2-40B4-BE49-F238E27FC236}">
                <a16:creationId xmlns:a16="http://schemas.microsoft.com/office/drawing/2014/main" id="{F0CA60B6-2096-24E7-3205-CCC0A347A26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029735" y="91107"/>
            <a:ext cx="252919" cy="26496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9" name="Gráfico 28" descr="Reloj con relleno sólido">
            <a:extLst>
              <a:ext uri="{FF2B5EF4-FFF2-40B4-BE49-F238E27FC236}">
                <a16:creationId xmlns:a16="http://schemas.microsoft.com/office/drawing/2014/main" id="{82805551-8B73-14B0-9D3E-A3F0915EC8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6178818" y="179552"/>
            <a:ext cx="223630" cy="223629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298846</xdr:colOff>
      <xdr:row>2</xdr:row>
      <xdr:rowOff>28573</xdr:rowOff>
    </xdr:from>
    <xdr:to>
      <xdr:col>4</xdr:col>
      <xdr:colOff>1128158</xdr:colOff>
      <xdr:row>2</xdr:row>
      <xdr:rowOff>280573</xdr:rowOff>
    </xdr:to>
    <xdr:grpSp>
      <xdr:nvGrpSpPr>
        <xdr:cNvPr id="2" name="Gruppieren 55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5599716" y="437182"/>
          <a:ext cx="829312" cy="252000"/>
          <a:chOff x="6086475" y="9334500"/>
          <a:chExt cx="829312" cy="252000"/>
        </a:xfrm>
      </xdr:grpSpPr>
      <xdr:sp macro="" textlink="">
        <xdr:nvSpPr>
          <xdr:cNvPr id="3" name="Rounded Rectangle 34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/>
        </xdr:nvSpPr>
        <xdr:spPr>
          <a:xfrm>
            <a:off x="6086475" y="9334500"/>
            <a:ext cx="468000" cy="252000"/>
          </a:xfrm>
          <a:prstGeom prst="roundRect">
            <a:avLst/>
          </a:prstGeom>
          <a:solidFill>
            <a:schemeClr val="tx1">
              <a:lumMod val="85000"/>
              <a:lumOff val="15000"/>
            </a:schemeClr>
          </a:solidFill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l"/>
            <a:r>
              <a:rPr lang="en-GB" sz="1100"/>
              <a:t>Ctrl</a:t>
            </a:r>
          </a:p>
        </xdr:txBody>
      </xdr:sp>
      <xdr:sp macro="" textlink="">
        <xdr:nvSpPr>
          <xdr:cNvPr id="4" name="Rounded Rectangle 35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6610987" y="9334500"/>
            <a:ext cx="304800" cy="252000"/>
          </a:xfrm>
          <a:prstGeom prst="roundRect">
            <a:avLst/>
          </a:prstGeom>
          <a:solidFill>
            <a:schemeClr val="tx1">
              <a:lumMod val="85000"/>
              <a:lumOff val="15000"/>
            </a:schemeClr>
          </a:solidFill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l"/>
            <a:r>
              <a:rPr lang="en-GB" sz="1100">
                <a:latin typeface="Wingdings 3" panose="05040102010807070707" pitchFamily="18" charset="2"/>
              </a:rPr>
              <a:t>i</a:t>
            </a:r>
          </a:p>
        </xdr:txBody>
      </xdr:sp>
    </xdr:grpSp>
    <xdr:clientData/>
  </xdr:twoCellAnchor>
  <xdr:twoCellAnchor editAs="oneCell">
    <xdr:from>
      <xdr:col>4</xdr:col>
      <xdr:colOff>298846</xdr:colOff>
      <xdr:row>3</xdr:row>
      <xdr:rowOff>19048</xdr:rowOff>
    </xdr:from>
    <xdr:to>
      <xdr:col>4</xdr:col>
      <xdr:colOff>2013346</xdr:colOff>
      <xdr:row>3</xdr:row>
      <xdr:rowOff>271048</xdr:rowOff>
    </xdr:to>
    <xdr:grpSp>
      <xdr:nvGrpSpPr>
        <xdr:cNvPr id="5" name="Gruppieren 5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5599716" y="753439"/>
          <a:ext cx="1714500" cy="252000"/>
          <a:chOff x="6162675" y="7877175"/>
          <a:chExt cx="1762125" cy="252000"/>
        </a:xfrm>
      </xdr:grpSpPr>
      <xdr:sp macro="" textlink="">
        <xdr:nvSpPr>
          <xdr:cNvPr id="6" name="Rounded Rectangle 73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6162675" y="7877175"/>
            <a:ext cx="468000" cy="252000"/>
          </a:xfrm>
          <a:prstGeom prst="roundRect">
            <a:avLst/>
          </a:prstGeom>
          <a:solidFill>
            <a:schemeClr val="tx1">
              <a:lumMod val="85000"/>
              <a:lumOff val="15000"/>
            </a:schemeClr>
          </a:solidFill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l"/>
            <a:r>
              <a:rPr lang="en-GB" sz="1100"/>
              <a:t>Ctrl</a:t>
            </a:r>
          </a:p>
        </xdr:txBody>
      </xdr:sp>
      <xdr:grpSp>
        <xdr:nvGrpSpPr>
          <xdr:cNvPr id="7" name="Gruppieren 58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GrpSpPr/>
        </xdr:nvGrpSpPr>
        <xdr:grpSpPr>
          <a:xfrm>
            <a:off x="6705600" y="7877175"/>
            <a:ext cx="857250" cy="252000"/>
            <a:chOff x="5705475" y="7115175"/>
            <a:chExt cx="857250" cy="252000"/>
          </a:xfrm>
        </xdr:grpSpPr>
        <xdr:sp macro="" textlink="">
          <xdr:nvSpPr>
            <xdr:cNvPr id="9" name="Rounded Rectangle 96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SpPr/>
          </xdr:nvSpPr>
          <xdr:spPr>
            <a:xfrm>
              <a:off x="5705475" y="7115175"/>
              <a:ext cx="857250" cy="252000"/>
            </a:xfrm>
            <a:prstGeom prst="roundRect">
              <a:avLst/>
            </a:prstGeom>
            <a:solidFill>
              <a:schemeClr val="tx1">
                <a:lumMod val="85000"/>
                <a:lumOff val="15000"/>
              </a:schemeClr>
            </a:solidFill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l"/>
              <a:r>
                <a:rPr lang="en-GB" sz="110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   Mayús</a:t>
              </a:r>
              <a:endParaRPr lang="en-GB" sz="1100">
                <a:latin typeface="Wingdings 3" panose="05040102010807070707" pitchFamily="18" charset="2"/>
              </a:endParaRPr>
            </a:p>
          </xdr:txBody>
        </xdr:sp>
        <xdr:sp macro="" textlink="">
          <xdr:nvSpPr>
            <xdr:cNvPr id="10" name="Down Arrow 97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SpPr/>
          </xdr:nvSpPr>
          <xdr:spPr>
            <a:xfrm flipV="1">
              <a:off x="5743574" y="7172323"/>
              <a:ext cx="114301" cy="95251"/>
            </a:xfrm>
            <a:prstGeom prst="downArrow">
              <a:avLst/>
            </a:prstGeom>
            <a:solidFill>
              <a:schemeClr val="tx1">
                <a:lumMod val="85000"/>
                <a:lumOff val="15000"/>
              </a:schemeClr>
            </a:solidFill>
            <a:ln w="3175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</xdr:grpSp>
      <xdr:sp macro="" textlink="">
        <xdr:nvSpPr>
          <xdr:cNvPr id="8" name="Rounded Rectangle 36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/>
        </xdr:nvSpPr>
        <xdr:spPr>
          <a:xfrm>
            <a:off x="7620000" y="7877175"/>
            <a:ext cx="304800" cy="252000"/>
          </a:xfrm>
          <a:prstGeom prst="roundRect">
            <a:avLst/>
          </a:prstGeom>
          <a:solidFill>
            <a:schemeClr val="tx1">
              <a:lumMod val="85000"/>
              <a:lumOff val="15000"/>
            </a:schemeClr>
          </a:solidFill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r>
              <a:rPr lang="en-GB" sz="1100">
                <a:solidFill>
                  <a:schemeClr val="lt1"/>
                </a:solidFill>
                <a:effectLst/>
                <a:latin typeface="Wingdings 3" panose="05040102010807070707" pitchFamily="18" charset="2"/>
                <a:ea typeface="+mn-ea"/>
                <a:cs typeface="+mn-cs"/>
              </a:rPr>
              <a:t>i</a:t>
            </a:r>
            <a:endParaRPr lang="en-GB">
              <a:effectLst/>
              <a:latin typeface="Wingdings 3" panose="05040102010807070707" pitchFamily="18" charset="2"/>
            </a:endParaRPr>
          </a:p>
        </xdr:txBody>
      </xdr:sp>
    </xdr:grpSp>
    <xdr:clientData/>
  </xdr:twoCellAnchor>
  <xdr:twoCellAnchor editAs="oneCell">
    <xdr:from>
      <xdr:col>4</xdr:col>
      <xdr:colOff>298846</xdr:colOff>
      <xdr:row>6</xdr:row>
      <xdr:rowOff>26194</xdr:rowOff>
    </xdr:from>
    <xdr:to>
      <xdr:col>4</xdr:col>
      <xdr:colOff>679846</xdr:colOff>
      <xdr:row>6</xdr:row>
      <xdr:rowOff>278194</xdr:rowOff>
    </xdr:to>
    <xdr:sp macro="" textlink="">
      <xdr:nvSpPr>
        <xdr:cNvPr id="14" name="Rounded Rectangle 38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6299596" y="1664494"/>
          <a:ext cx="381000" cy="25200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n-GB" sz="1100"/>
            <a:t>F2</a:t>
          </a:r>
        </a:p>
      </xdr:txBody>
    </xdr:sp>
    <xdr:clientData/>
  </xdr:twoCellAnchor>
  <xdr:twoCellAnchor>
    <xdr:from>
      <xdr:col>4</xdr:col>
      <xdr:colOff>289319</xdr:colOff>
      <xdr:row>4</xdr:row>
      <xdr:rowOff>38098</xdr:rowOff>
    </xdr:from>
    <xdr:to>
      <xdr:col>4</xdr:col>
      <xdr:colOff>2252867</xdr:colOff>
      <xdr:row>4</xdr:row>
      <xdr:rowOff>290098</xdr:rowOff>
    </xdr:to>
    <xdr:grpSp>
      <xdr:nvGrpSpPr>
        <xdr:cNvPr id="35" name="Grupo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GrpSpPr/>
      </xdr:nvGrpSpPr>
      <xdr:grpSpPr>
        <a:xfrm>
          <a:off x="5590189" y="1098272"/>
          <a:ext cx="1963548" cy="252000"/>
          <a:chOff x="5349993" y="1106555"/>
          <a:chExt cx="1963548" cy="252000"/>
        </a:xfrm>
      </xdr:grpSpPr>
      <xdr:sp macro="" textlink="">
        <xdr:nvSpPr>
          <xdr:cNvPr id="17" name="Rounded Rectangle 73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/>
        </xdr:nvSpPr>
        <xdr:spPr>
          <a:xfrm>
            <a:off x="5349993" y="1106555"/>
            <a:ext cx="455351" cy="252000"/>
          </a:xfrm>
          <a:prstGeom prst="roundRect">
            <a:avLst/>
          </a:prstGeom>
          <a:solidFill>
            <a:schemeClr val="tx1">
              <a:lumMod val="85000"/>
              <a:lumOff val="15000"/>
            </a:schemeClr>
          </a:solidFill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l"/>
            <a:r>
              <a:rPr lang="en-GB" sz="1100"/>
              <a:t>Ctrl</a:t>
            </a:r>
          </a:p>
        </xdr:txBody>
      </xdr:sp>
      <xdr:sp macro="" textlink="">
        <xdr:nvSpPr>
          <xdr:cNvPr id="20" name="Rounded Rectangle 96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/>
        </xdr:nvSpPr>
        <xdr:spPr>
          <a:xfrm>
            <a:off x="5878242" y="1106555"/>
            <a:ext cx="1435299" cy="252000"/>
          </a:xfrm>
          <a:prstGeom prst="roundRect">
            <a:avLst/>
          </a:prstGeom>
          <a:solidFill>
            <a:schemeClr val="tx1">
              <a:lumMod val="85000"/>
              <a:lumOff val="15000"/>
            </a:schemeClr>
          </a:solidFill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en-GB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Espaciador</a:t>
            </a:r>
            <a:endParaRPr lang="en-GB" sz="1100">
              <a:latin typeface="Wingdings 3" panose="05040102010807070707" pitchFamily="18" charset="2"/>
            </a:endParaRPr>
          </a:p>
        </xdr:txBody>
      </xdr:sp>
    </xdr:grpSp>
    <xdr:clientData/>
  </xdr:twoCellAnchor>
  <xdr:twoCellAnchor editAs="oneCell">
    <xdr:from>
      <xdr:col>6</xdr:col>
      <xdr:colOff>441128</xdr:colOff>
      <xdr:row>0</xdr:row>
      <xdr:rowOff>88622</xdr:rowOff>
    </xdr:from>
    <xdr:to>
      <xdr:col>6</xdr:col>
      <xdr:colOff>1275209</xdr:colOff>
      <xdr:row>1</xdr:row>
      <xdr:rowOff>150122</xdr:rowOff>
    </xdr:to>
    <xdr:grpSp>
      <xdr:nvGrpSpPr>
        <xdr:cNvPr id="27" name="Gruppieren 58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GrpSpPr/>
      </xdr:nvGrpSpPr>
      <xdr:grpSpPr>
        <a:xfrm>
          <a:off x="9253824" y="88622"/>
          <a:ext cx="834081" cy="243717"/>
          <a:chOff x="5705475" y="7115175"/>
          <a:chExt cx="857250" cy="252000"/>
        </a:xfrm>
      </xdr:grpSpPr>
      <xdr:sp macro="" textlink="">
        <xdr:nvSpPr>
          <xdr:cNvPr id="29" name="Rounded Rectangle 96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SpPr/>
        </xdr:nvSpPr>
        <xdr:spPr>
          <a:xfrm>
            <a:off x="5705475" y="7115175"/>
            <a:ext cx="857250" cy="252000"/>
          </a:xfrm>
          <a:prstGeom prst="roundRect">
            <a:avLst/>
          </a:prstGeom>
          <a:solidFill>
            <a:schemeClr val="tx1">
              <a:lumMod val="85000"/>
              <a:lumOff val="15000"/>
            </a:schemeClr>
          </a:solidFill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l"/>
            <a:r>
              <a:rPr lang="en-GB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SHIFT</a:t>
            </a:r>
            <a:endParaRPr lang="en-GB" sz="1100">
              <a:latin typeface="Wingdings 3" panose="05040102010807070707" pitchFamily="18" charset="2"/>
            </a:endParaRPr>
          </a:p>
        </xdr:txBody>
      </xdr:sp>
      <xdr:sp macro="" textlink="">
        <xdr:nvSpPr>
          <xdr:cNvPr id="30" name="Down Arrow 97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/>
        </xdr:nvSpPr>
        <xdr:spPr>
          <a:xfrm flipV="1">
            <a:off x="5743574" y="7172323"/>
            <a:ext cx="114301" cy="95251"/>
          </a:xfrm>
          <a:prstGeom prst="downArrow">
            <a:avLst/>
          </a:prstGeom>
          <a:solidFill>
            <a:schemeClr val="tx1">
              <a:lumMod val="85000"/>
              <a:lumOff val="15000"/>
            </a:schemeClr>
          </a:solidFill>
          <a:ln w="317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 editAs="oneCell">
    <xdr:from>
      <xdr:col>5</xdr:col>
      <xdr:colOff>245657</xdr:colOff>
      <xdr:row>0</xdr:row>
      <xdr:rowOff>91935</xdr:rowOff>
    </xdr:from>
    <xdr:to>
      <xdr:col>6</xdr:col>
      <xdr:colOff>60978</xdr:colOff>
      <xdr:row>1</xdr:row>
      <xdr:rowOff>153435</xdr:rowOff>
    </xdr:to>
    <xdr:grpSp>
      <xdr:nvGrpSpPr>
        <xdr:cNvPr id="31" name="Gruppieren 58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GrpSpPr/>
      </xdr:nvGrpSpPr>
      <xdr:grpSpPr>
        <a:xfrm>
          <a:off x="7992657" y="91935"/>
          <a:ext cx="881017" cy="243717"/>
          <a:chOff x="5705475" y="7115175"/>
          <a:chExt cx="857250" cy="252000"/>
        </a:xfrm>
      </xdr:grpSpPr>
      <xdr:sp macro="" textlink="">
        <xdr:nvSpPr>
          <xdr:cNvPr id="32" name="Rounded Rectangle 96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/>
        </xdr:nvSpPr>
        <xdr:spPr>
          <a:xfrm>
            <a:off x="5705475" y="7115175"/>
            <a:ext cx="857250" cy="252000"/>
          </a:xfrm>
          <a:prstGeom prst="roundRect">
            <a:avLst/>
          </a:prstGeom>
          <a:solidFill>
            <a:schemeClr val="tx1">
              <a:lumMod val="85000"/>
              <a:lumOff val="15000"/>
            </a:schemeClr>
          </a:solidFill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l"/>
            <a:r>
              <a:rPr lang="en-GB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Mayús</a:t>
            </a:r>
            <a:endParaRPr lang="en-GB" sz="1100">
              <a:latin typeface="Wingdings 3" panose="05040102010807070707" pitchFamily="18" charset="2"/>
            </a:endParaRPr>
          </a:p>
        </xdr:txBody>
      </xdr:sp>
      <xdr:sp macro="" textlink="">
        <xdr:nvSpPr>
          <xdr:cNvPr id="33" name="Down Arrow 97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/>
        </xdr:nvSpPr>
        <xdr:spPr>
          <a:xfrm flipV="1">
            <a:off x="5743574" y="7172323"/>
            <a:ext cx="114301" cy="95251"/>
          </a:xfrm>
          <a:prstGeom prst="downArrow">
            <a:avLst/>
          </a:prstGeom>
          <a:solidFill>
            <a:schemeClr val="tx1">
              <a:lumMod val="85000"/>
              <a:lumOff val="15000"/>
            </a:schemeClr>
          </a:solidFill>
          <a:ln w="317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oneCellAnchor>
    <xdr:from>
      <xdr:col>6</xdr:col>
      <xdr:colOff>91109</xdr:colOff>
      <xdr:row>0</xdr:row>
      <xdr:rowOff>8283</xdr:rowOff>
    </xdr:from>
    <xdr:ext cx="312393" cy="405432"/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/>
      </xdr:nvSpPr>
      <xdr:spPr>
        <a:xfrm>
          <a:off x="8506239" y="8283"/>
          <a:ext cx="312393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2000"/>
            <a:t>=</a:t>
          </a:r>
        </a:p>
      </xdr:txBody>
    </xdr:sp>
    <xdr:clientData/>
  </xdr:oneCellAnchor>
  <xdr:twoCellAnchor>
    <xdr:from>
      <xdr:col>4</xdr:col>
      <xdr:colOff>829164</xdr:colOff>
      <xdr:row>5</xdr:row>
      <xdr:rowOff>41412</xdr:rowOff>
    </xdr:from>
    <xdr:to>
      <xdr:col>4</xdr:col>
      <xdr:colOff>2264463</xdr:colOff>
      <xdr:row>5</xdr:row>
      <xdr:rowOff>293412</xdr:rowOff>
    </xdr:to>
    <xdr:sp macro="" textlink="">
      <xdr:nvSpPr>
        <xdr:cNvPr id="39" name="Rounded Rectangle 96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5889838" y="1432890"/>
          <a:ext cx="1435299" cy="25200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Espaciador</a:t>
          </a:r>
          <a:endParaRPr lang="en-GB" sz="1100">
            <a:latin typeface="Wingdings 3" panose="05040102010807070707" pitchFamily="18" charset="2"/>
          </a:endParaRPr>
        </a:p>
      </xdr:txBody>
    </xdr:sp>
    <xdr:clientData/>
  </xdr:twoCellAnchor>
  <xdr:twoCellAnchor editAs="oneCell">
    <xdr:from>
      <xdr:col>4</xdr:col>
      <xdr:colOff>23013</xdr:colOff>
      <xdr:row>5</xdr:row>
      <xdr:rowOff>41412</xdr:rowOff>
    </xdr:from>
    <xdr:to>
      <xdr:col>4</xdr:col>
      <xdr:colOff>762000</xdr:colOff>
      <xdr:row>5</xdr:row>
      <xdr:rowOff>293412</xdr:rowOff>
    </xdr:to>
    <xdr:grpSp>
      <xdr:nvGrpSpPr>
        <xdr:cNvPr id="42" name="Gruppieren 58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GrpSpPr/>
      </xdr:nvGrpSpPr>
      <xdr:grpSpPr>
        <a:xfrm>
          <a:off x="5323883" y="1427369"/>
          <a:ext cx="738987" cy="252000"/>
          <a:chOff x="5705476" y="7115175"/>
          <a:chExt cx="857250" cy="252000"/>
        </a:xfrm>
      </xdr:grpSpPr>
      <xdr:sp macro="" textlink="">
        <xdr:nvSpPr>
          <xdr:cNvPr id="44" name="Rounded Rectangle 96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SpPr/>
        </xdr:nvSpPr>
        <xdr:spPr>
          <a:xfrm>
            <a:off x="5705476" y="7115175"/>
            <a:ext cx="857250" cy="252000"/>
          </a:xfrm>
          <a:prstGeom prst="roundRect">
            <a:avLst/>
          </a:prstGeom>
          <a:solidFill>
            <a:schemeClr val="tx1">
              <a:lumMod val="85000"/>
              <a:lumOff val="15000"/>
            </a:schemeClr>
          </a:solidFill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l"/>
            <a:r>
              <a:rPr lang="en-GB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Mayús</a:t>
            </a:r>
            <a:endParaRPr lang="en-GB" sz="1100">
              <a:latin typeface="Wingdings 3" panose="05040102010807070707" pitchFamily="18" charset="2"/>
            </a:endParaRPr>
          </a:p>
        </xdr:txBody>
      </xdr:sp>
      <xdr:sp macro="" textlink="">
        <xdr:nvSpPr>
          <xdr:cNvPr id="45" name="Down Arrow 97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/>
        </xdr:nvSpPr>
        <xdr:spPr>
          <a:xfrm flipV="1">
            <a:off x="5743574" y="7172323"/>
            <a:ext cx="114301" cy="95251"/>
          </a:xfrm>
          <a:prstGeom prst="downArrow">
            <a:avLst/>
          </a:prstGeom>
          <a:solidFill>
            <a:schemeClr val="tx1">
              <a:lumMod val="85000"/>
              <a:lumOff val="15000"/>
            </a:schemeClr>
          </a:solidFill>
          <a:ln w="317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95250</xdr:colOff>
          <xdr:row>1</xdr:row>
          <xdr:rowOff>571500</xdr:rowOff>
        </xdr:from>
        <xdr:to>
          <xdr:col>0</xdr:col>
          <xdr:colOff>317500</xdr:colOff>
          <xdr:row>3</xdr:row>
          <xdr:rowOff>20609</xdr:rowOff>
        </xdr:to>
        <xdr:sp macro="" textlink="">
          <xdr:nvSpPr>
            <xdr:cNvPr id="21506" name="Check Box 2" hidden="1">
              <a:extLst>
                <a:ext uri="{63B3BB69-23CF-44E3-9099-C40C66FF867C}">
                  <a14:compatExt spid="_x0000_s21506"/>
                </a:ext>
                <a:ext uri="{FF2B5EF4-FFF2-40B4-BE49-F238E27FC236}">
                  <a16:creationId xmlns:a16="http://schemas.microsoft.com/office/drawing/2014/main" id="{00000000-0008-0000-0200-00000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88900</xdr:colOff>
          <xdr:row>2</xdr:row>
          <xdr:rowOff>209550</xdr:rowOff>
        </xdr:from>
        <xdr:to>
          <xdr:col>0</xdr:col>
          <xdr:colOff>304800</xdr:colOff>
          <xdr:row>4</xdr:row>
          <xdr:rowOff>19051</xdr:rowOff>
        </xdr:to>
        <xdr:sp macro="" textlink="">
          <xdr:nvSpPr>
            <xdr:cNvPr id="21507" name="Check Box 3" hidden="1">
              <a:extLst>
                <a:ext uri="{63B3BB69-23CF-44E3-9099-C40C66FF867C}">
                  <a14:compatExt spid="_x0000_s21507"/>
                </a:ext>
                <a:ext uri="{FF2B5EF4-FFF2-40B4-BE49-F238E27FC236}">
                  <a16:creationId xmlns:a16="http://schemas.microsoft.com/office/drawing/2014/main" id="{00000000-0008-0000-0200-000003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88900</xdr:colOff>
          <xdr:row>3</xdr:row>
          <xdr:rowOff>209550</xdr:rowOff>
        </xdr:from>
        <xdr:to>
          <xdr:col>0</xdr:col>
          <xdr:colOff>304800</xdr:colOff>
          <xdr:row>5</xdr:row>
          <xdr:rowOff>19051</xdr:rowOff>
        </xdr:to>
        <xdr:sp macro="" textlink="">
          <xdr:nvSpPr>
            <xdr:cNvPr id="21508" name="Check Box 4" hidden="1">
              <a:extLst>
                <a:ext uri="{63B3BB69-23CF-44E3-9099-C40C66FF867C}">
                  <a14:compatExt spid="_x0000_s21508"/>
                </a:ext>
                <a:ext uri="{FF2B5EF4-FFF2-40B4-BE49-F238E27FC236}">
                  <a16:creationId xmlns:a16="http://schemas.microsoft.com/office/drawing/2014/main" id="{00000000-0008-0000-0200-000004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88900</xdr:colOff>
          <xdr:row>4</xdr:row>
          <xdr:rowOff>209550</xdr:rowOff>
        </xdr:from>
        <xdr:to>
          <xdr:col>0</xdr:col>
          <xdr:colOff>304800</xdr:colOff>
          <xdr:row>6</xdr:row>
          <xdr:rowOff>19050</xdr:rowOff>
        </xdr:to>
        <xdr:sp macro="" textlink="">
          <xdr:nvSpPr>
            <xdr:cNvPr id="21509" name="Check Box 5" hidden="1">
              <a:extLst>
                <a:ext uri="{63B3BB69-23CF-44E3-9099-C40C66FF867C}">
                  <a14:compatExt spid="_x0000_s21509"/>
                </a:ext>
                <a:ext uri="{FF2B5EF4-FFF2-40B4-BE49-F238E27FC236}">
                  <a16:creationId xmlns:a16="http://schemas.microsoft.com/office/drawing/2014/main" id="{00000000-0008-0000-0200-000005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88900</xdr:colOff>
          <xdr:row>5</xdr:row>
          <xdr:rowOff>209550</xdr:rowOff>
        </xdr:from>
        <xdr:to>
          <xdr:col>0</xdr:col>
          <xdr:colOff>304800</xdr:colOff>
          <xdr:row>7</xdr:row>
          <xdr:rowOff>19049</xdr:rowOff>
        </xdr:to>
        <xdr:sp macro="" textlink="">
          <xdr:nvSpPr>
            <xdr:cNvPr id="21510" name="Check Box 6" hidden="1">
              <a:extLst>
                <a:ext uri="{63B3BB69-23CF-44E3-9099-C40C66FF867C}">
                  <a14:compatExt spid="_x0000_s21510"/>
                </a:ext>
                <a:ext uri="{FF2B5EF4-FFF2-40B4-BE49-F238E27FC236}">
                  <a16:creationId xmlns:a16="http://schemas.microsoft.com/office/drawing/2014/main" id="{00000000-0008-0000-0200-000006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256442</xdr:colOff>
      <xdr:row>7</xdr:row>
      <xdr:rowOff>139212</xdr:rowOff>
    </xdr:from>
    <xdr:to>
      <xdr:col>1</xdr:col>
      <xdr:colOff>1521797</xdr:colOff>
      <xdr:row>12</xdr:row>
      <xdr:rowOff>31635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56442" y="1620879"/>
          <a:ext cx="2045180" cy="811502"/>
          <a:chOff x="478959" y="2029557"/>
          <a:chExt cx="1704464" cy="844923"/>
        </a:xfrm>
      </xdr:grpSpPr>
      <xdr:grpSp>
        <xdr:nvGrpSpPr>
          <xdr:cNvPr id="3" name="Gruppieren 56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pSpPr/>
        </xdr:nvGrpSpPr>
        <xdr:grpSpPr>
          <a:xfrm>
            <a:off x="478959" y="2595898"/>
            <a:ext cx="1620044" cy="278582"/>
            <a:chOff x="6162675" y="7877175"/>
            <a:chExt cx="1762123" cy="252000"/>
          </a:xfrm>
        </xdr:grpSpPr>
        <xdr:sp macro="" textlink="">
          <xdr:nvSpPr>
            <xdr:cNvPr id="5" name="Rounded Rectangle 73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6162675" y="7877175"/>
              <a:ext cx="468000" cy="252000"/>
            </a:xfrm>
            <a:prstGeom prst="roundRect">
              <a:avLst/>
            </a:prstGeom>
            <a:solidFill>
              <a:schemeClr val="tx1">
                <a:lumMod val="85000"/>
                <a:lumOff val="15000"/>
              </a:schemeClr>
            </a:solidFill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l"/>
              <a:r>
                <a:rPr lang="en-GB" sz="1100"/>
                <a:t>Ctrl</a:t>
              </a:r>
            </a:p>
          </xdr:txBody>
        </xdr:sp>
        <xdr:grpSp>
          <xdr:nvGrpSpPr>
            <xdr:cNvPr id="6" name="Gruppieren 58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GrpSpPr/>
          </xdr:nvGrpSpPr>
          <xdr:grpSpPr>
            <a:xfrm>
              <a:off x="6705600" y="7877175"/>
              <a:ext cx="857250" cy="252000"/>
              <a:chOff x="5705475" y="7115175"/>
              <a:chExt cx="857250" cy="252000"/>
            </a:xfrm>
          </xdr:grpSpPr>
          <xdr:sp macro="" textlink="">
            <xdr:nvSpPr>
              <xdr:cNvPr id="8" name="Rounded Rectangle 96">
                <a:extLst>
                  <a:ext uri="{FF2B5EF4-FFF2-40B4-BE49-F238E27FC236}">
                    <a16:creationId xmlns:a16="http://schemas.microsoft.com/office/drawing/2014/main" id="{00000000-0008-0000-0200-000008000000}"/>
                  </a:ext>
                </a:extLst>
              </xdr:cNvPr>
              <xdr:cNvSpPr/>
            </xdr:nvSpPr>
            <xdr:spPr>
              <a:xfrm>
                <a:off x="5705475" y="7115175"/>
                <a:ext cx="857250" cy="252000"/>
              </a:xfrm>
              <a:prstGeom prst="roundRect">
                <a:avLst/>
              </a:prstGeom>
              <a:solidFill>
                <a:schemeClr val="tx1">
                  <a:lumMod val="85000"/>
                  <a:lumOff val="15000"/>
                </a:schemeClr>
              </a:solidFill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b"/>
              <a:lstStyle/>
              <a:p>
                <a:pPr algn="l"/>
                <a:r>
                  <a:rPr lang="en-GB" sz="110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  <a:t>    Mayús</a:t>
                </a:r>
                <a:endParaRPr lang="en-GB" sz="1100">
                  <a:latin typeface="Wingdings 3" panose="05040102010807070707" pitchFamily="18" charset="2"/>
                </a:endParaRPr>
              </a:p>
            </xdr:txBody>
          </xdr:sp>
          <xdr:sp macro="" textlink="">
            <xdr:nvSpPr>
              <xdr:cNvPr id="9" name="Down Arrow 97">
                <a:extLst>
                  <a:ext uri="{FF2B5EF4-FFF2-40B4-BE49-F238E27FC236}">
                    <a16:creationId xmlns:a16="http://schemas.microsoft.com/office/drawing/2014/main" id="{00000000-0008-0000-0200-000009000000}"/>
                  </a:ext>
                </a:extLst>
              </xdr:cNvPr>
              <xdr:cNvSpPr/>
            </xdr:nvSpPr>
            <xdr:spPr>
              <a:xfrm flipV="1">
                <a:off x="5743574" y="7172323"/>
                <a:ext cx="114301" cy="95251"/>
              </a:xfrm>
              <a:prstGeom prst="downArrow">
                <a:avLst/>
              </a:prstGeom>
              <a:solidFill>
                <a:schemeClr val="tx1">
                  <a:lumMod val="85000"/>
                  <a:lumOff val="15000"/>
                </a:schemeClr>
              </a:solidFill>
              <a:ln w="3175">
                <a:solidFill>
                  <a:schemeClr val="bg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</xdr:grpSp>
        <xdr:sp macro="" textlink="">
          <xdr:nvSpPr>
            <xdr:cNvPr id="7" name="Rounded Rectangle 36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7619998" y="7877175"/>
              <a:ext cx="304800" cy="252000"/>
            </a:xfrm>
            <a:prstGeom prst="roundRect">
              <a:avLst/>
            </a:prstGeom>
            <a:solidFill>
              <a:schemeClr val="tx1">
                <a:lumMod val="85000"/>
                <a:lumOff val="15000"/>
              </a:schemeClr>
            </a:solidFill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r>
                <a:rPr lang="en-GB" sz="1100">
                  <a:solidFill>
                    <a:schemeClr val="lt1"/>
                  </a:solidFill>
                  <a:effectLst/>
                  <a:latin typeface="Wingdings 3" panose="05040102010807070707" pitchFamily="18" charset="2"/>
                  <a:ea typeface="+mn-ea"/>
                  <a:cs typeface="+mn-cs"/>
                </a:rPr>
                <a:t>i</a:t>
              </a:r>
              <a:endParaRPr lang="en-GB">
                <a:effectLst/>
                <a:latin typeface="Wingdings 3" panose="05040102010807070707" pitchFamily="18" charset="2"/>
              </a:endParaRPr>
            </a:p>
          </xdr:txBody>
        </xdr:sp>
      </xdr:grp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 txBox="1"/>
        </xdr:nvSpPr>
        <xdr:spPr>
          <a:xfrm>
            <a:off x="505558" y="2029557"/>
            <a:ext cx="1677865" cy="59348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s-MX" sz="1400" b="1"/>
              <a:t>Atajo</a:t>
            </a:r>
            <a:r>
              <a:rPr lang="es-MX" sz="1400" b="1" baseline="0"/>
              <a:t> s</a:t>
            </a:r>
            <a:r>
              <a:rPr lang="es-MX" sz="1400" b="1"/>
              <a:t>eleccionar </a:t>
            </a:r>
            <a:br>
              <a:rPr lang="es-MX" sz="1400" b="1"/>
            </a:br>
            <a:r>
              <a:rPr lang="es-MX" sz="1400" b="1"/>
              <a:t>celdas hacía abajo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57979</xdr:colOff>
      <xdr:row>3</xdr:row>
      <xdr:rowOff>0</xdr:rowOff>
    </xdr:from>
    <xdr:to>
      <xdr:col>8</xdr:col>
      <xdr:colOff>596348</xdr:colOff>
      <xdr:row>11</xdr:row>
      <xdr:rowOff>74543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3578088" y="621196"/>
          <a:ext cx="2675282" cy="1598543"/>
        </a:xfrm>
        <a:prstGeom prst="roundRect">
          <a:avLst>
            <a:gd name="adj" fmla="val 1030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PUNTOS A TOMAR EN CUENTA:</a:t>
          </a:r>
          <a:br>
            <a:rPr lang="es-419" sz="1100"/>
          </a:br>
          <a:br>
            <a:rPr lang="es-419" sz="1100"/>
          </a:br>
          <a:r>
            <a:rPr lang="es-419" sz="900"/>
            <a:t>1. </a:t>
          </a:r>
          <a:r>
            <a:rPr lang="es-419" sz="9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Ordenar ascendente la primera columna de la </a:t>
          </a:r>
          <a:r>
            <a:rPr lang="es-419" sz="900" b="1" i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matriz_buscar_en</a:t>
          </a:r>
          <a:r>
            <a:rPr lang="es-419" sz="9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antes de usar BUSCARV cuando la</a:t>
          </a:r>
          <a:r>
            <a:rPr lang="es-419" sz="9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búsqueda </a:t>
          </a:r>
          <a:r>
            <a:rPr lang="es-419" sz="9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sea APROXIMADA</a:t>
          </a:r>
          <a:r>
            <a:rPr lang="es-419" sz="9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o VERDADERO</a:t>
          </a:r>
          <a:r>
            <a:rPr lang="es-419" sz="9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br>
            <a:rPr lang="es-419" sz="9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br>
            <a:rPr lang="es-419" sz="9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s-419" sz="9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es-419" sz="9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Encontrará el siguiente valor aproximado hacía ABAJO nunca lo hará hacía ARRIBA. </a:t>
          </a:r>
          <a:endParaRPr lang="es-419" sz="9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1962150</xdr:colOff>
      <xdr:row>12</xdr:row>
      <xdr:rowOff>133351</xdr:rowOff>
    </xdr:from>
    <xdr:to>
      <xdr:col>4</xdr:col>
      <xdr:colOff>76200</xdr:colOff>
      <xdr:row>17</xdr:row>
      <xdr:rowOff>38101</xdr:rowOff>
    </xdr:to>
    <xdr:pic>
      <xdr:nvPicPr>
        <xdr:cNvPr id="3" name="Gráfico 2" descr="Flecha: curva con sentido de las agujas del reloj con relleno sólido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6671384">
          <a:off x="4248150" y="3095626"/>
          <a:ext cx="914400" cy="914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Videos%20HDD\Hazlo%20Con%20Excel%20-%20Gelo%20Digital\EXCEL%20VISUAL%20-%20Dashboards%20Increibles\M&#243;dulo%201%20-%20Bienvenida%20e%20introducci&#243;n%20a%20los%20Dashboards%20en%20Excel\ARCHIVOS%20LISTOS\Demo-Libro-Dashboard.xlsx" TargetMode="External"/><Relationship Id="rId1" Type="http://schemas.openxmlformats.org/officeDocument/2006/relationships/externalLinkPath" Target="file:///D:\Videos%20HDD\Hazlo%20Con%20Excel%20-%20Gelo%20Digital\EXCEL%20VISUAL%20-%20Dashboards%20Increibles\M&#243;dulo%201%20-%20Bienvenida%20e%20introducci&#243;n%20a%20los%20Dashboards%20en%20Excel\ARCHIVOS%20LISTOS\Demo-Libro-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icio"/>
      <sheetName val="Atajos"/>
      <sheetName val="INDICE Y COINCIDIR"/>
      <sheetName val="SUMAR.SI.CONJUNTO"/>
      <sheetName val="Mayor_Menor"/>
      <sheetName val="Fila_Columna"/>
      <sheetName val="ELEGIR"/>
      <sheetName val="TEXTO"/>
      <sheetName val="Formato Personalizado"/>
      <sheetName val="N"/>
      <sheetName val="IMPORTARDATOSDINÁMICOS"/>
      <sheetName val="INDIRECTO"/>
      <sheetName val="Datos_2022"/>
      <sheetName val="Datos_2023"/>
      <sheetName val="Elegir_NM"/>
      <sheetName val="ControlesForm"/>
      <sheetName val="Graficas#1"/>
      <sheetName val="Graficas#2 (2)"/>
      <sheetName val="Graficas#2"/>
      <sheetName val="Graficas#3"/>
      <sheetName val="Graficas#4"/>
      <sheetName val="Graficas#5"/>
      <sheetName val="Demo-Libro-Dashboard"/>
    </sheetNames>
    <sheetDataSet>
      <sheetData sheetId="0" refreshError="1"/>
      <sheetData sheetId="1" refreshError="1"/>
      <sheetData sheetId="2">
        <row r="37">
          <cell r="A37" t="str">
            <v>WenCaL</v>
          </cell>
          <cell r="B37" t="str">
            <v>Fightrr</v>
          </cell>
          <cell r="C37" t="str">
            <v>Commuta</v>
          </cell>
        </row>
        <row r="38">
          <cell r="A38" t="str">
            <v>Blend</v>
          </cell>
          <cell r="B38" t="str">
            <v>Kryptis</v>
          </cell>
          <cell r="C38" t="str">
            <v>Infic</v>
          </cell>
        </row>
        <row r="39">
          <cell r="A39" t="str">
            <v>Voltage</v>
          </cell>
          <cell r="B39" t="str">
            <v>Perino</v>
          </cell>
          <cell r="C39" t="str">
            <v>Accord</v>
          </cell>
        </row>
        <row r="40">
          <cell r="A40" t="str">
            <v>Inkly</v>
          </cell>
          <cell r="B40" t="str">
            <v>Five Labs</v>
          </cell>
          <cell r="C40" t="str">
            <v>Misty Wash</v>
          </cell>
        </row>
        <row r="41">
          <cell r="A41" t="str">
            <v>Sleops</v>
          </cell>
          <cell r="B41" t="str">
            <v>Twistrr</v>
          </cell>
          <cell r="C41" t="str">
            <v>Twenty20</v>
          </cell>
        </row>
        <row r="42">
          <cell r="A42" t="str">
            <v>Kind Ape</v>
          </cell>
          <cell r="B42" t="str">
            <v>Hackrr</v>
          </cell>
          <cell r="C42" t="str">
            <v>Tanox</v>
          </cell>
        </row>
        <row r="43">
          <cell r="A43" t="str">
            <v>Pet Feed</v>
          </cell>
          <cell r="B43" t="str">
            <v>Pes</v>
          </cell>
          <cell r="C43" t="str">
            <v>Minor Liar</v>
          </cell>
        </row>
        <row r="44">
          <cell r="A44" t="str">
            <v>Right App</v>
          </cell>
          <cell r="B44" t="str">
            <v>Baden</v>
          </cell>
          <cell r="C44" t="str">
            <v>Mosquit</v>
          </cell>
        </row>
        <row r="45">
          <cell r="A45" t="str">
            <v>Mirrrr</v>
          </cell>
          <cell r="B45" t="str">
            <v>Jellyfish</v>
          </cell>
          <cell r="C45" t="str">
            <v>Atmos</v>
          </cell>
        </row>
        <row r="46">
          <cell r="A46" t="str">
            <v>Halotot</v>
          </cell>
          <cell r="B46" t="str">
            <v>Aviatrr</v>
          </cell>
          <cell r="C46" t="str">
            <v>Scrap</v>
          </cell>
        </row>
        <row r="47">
          <cell r="A47" t="str">
            <v>Flowrrr</v>
          </cell>
          <cell r="B47" t="str">
            <v>deRamblr</v>
          </cell>
          <cell r="C47" t="str">
            <v>Motocyco</v>
          </cell>
        </row>
        <row r="48">
          <cell r="A48" t="str">
            <v>Silvrr</v>
          </cell>
          <cell r="B48" t="str">
            <v>Arcade</v>
          </cell>
          <cell r="C48" t="str">
            <v>Amplefio</v>
          </cell>
        </row>
        <row r="49">
          <cell r="A49" t="str">
            <v>Dasring</v>
          </cell>
          <cell r="B49" t="str">
            <v/>
          </cell>
          <cell r="C49" t="str">
            <v>Strex</v>
          </cell>
        </row>
        <row r="50">
          <cell r="A50" t="str">
            <v>Rehire</v>
          </cell>
          <cell r="B50" t="str">
            <v/>
          </cell>
          <cell r="C50" t="str">
            <v/>
          </cell>
        </row>
        <row r="51">
          <cell r="A51" t="str">
            <v>Didactic</v>
          </cell>
          <cell r="B51" t="str">
            <v/>
          </cell>
          <cell r="C51" t="str">
            <v/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>
        <row r="7">
          <cell r="H7">
            <v>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>
        <row r="2">
          <cell r="A2">
            <v>44601</v>
          </cell>
          <cell r="B2">
            <v>74.44</v>
          </cell>
        </row>
        <row r="3">
          <cell r="A3">
            <v>44602</v>
          </cell>
          <cell r="B3">
            <v>75.19</v>
          </cell>
        </row>
        <row r="4">
          <cell r="A4">
            <v>44603</v>
          </cell>
          <cell r="B4">
            <v>76.510000000000005</v>
          </cell>
          <cell r="G4">
            <v>44609</v>
          </cell>
        </row>
        <row r="5">
          <cell r="A5">
            <v>44604</v>
          </cell>
          <cell r="B5">
            <v>76.23</v>
          </cell>
          <cell r="G5">
            <v>44619</v>
          </cell>
        </row>
        <row r="6">
          <cell r="A6">
            <v>44605</v>
          </cell>
          <cell r="B6">
            <v>75.739999999999995</v>
          </cell>
        </row>
        <row r="7">
          <cell r="A7">
            <v>44609</v>
          </cell>
          <cell r="B7">
            <v>75.599999999999994</v>
          </cell>
        </row>
        <row r="8">
          <cell r="A8">
            <v>44610</v>
          </cell>
          <cell r="B8">
            <v>76.709999999999994</v>
          </cell>
        </row>
        <row r="9">
          <cell r="A9">
            <v>44611</v>
          </cell>
          <cell r="B9">
            <v>79.42</v>
          </cell>
        </row>
        <row r="10">
          <cell r="A10">
            <v>44612</v>
          </cell>
          <cell r="B10">
            <v>79.894999999999996</v>
          </cell>
        </row>
        <row r="11">
          <cell r="A11">
            <v>44615</v>
          </cell>
          <cell r="B11">
            <v>78.84</v>
          </cell>
        </row>
        <row r="12">
          <cell r="A12">
            <v>44616</v>
          </cell>
          <cell r="B12">
            <v>78.45</v>
          </cell>
        </row>
        <row r="13">
          <cell r="A13">
            <v>44617</v>
          </cell>
          <cell r="B13">
            <v>79.56</v>
          </cell>
        </row>
        <row r="14">
          <cell r="A14">
            <v>44618</v>
          </cell>
          <cell r="B14">
            <v>80.41</v>
          </cell>
        </row>
        <row r="15">
          <cell r="A15">
            <v>44619</v>
          </cell>
          <cell r="B15">
            <v>78.97</v>
          </cell>
        </row>
        <row r="16">
          <cell r="A16">
            <v>44622</v>
          </cell>
          <cell r="B16">
            <v>79.75</v>
          </cell>
        </row>
        <row r="17">
          <cell r="A17">
            <v>44623</v>
          </cell>
          <cell r="B17">
            <v>79.599999999999994</v>
          </cell>
        </row>
        <row r="18">
          <cell r="A18">
            <v>44624</v>
          </cell>
          <cell r="B18">
            <v>80.894999999999996</v>
          </cell>
        </row>
        <row r="19">
          <cell r="A19">
            <v>44625</v>
          </cell>
          <cell r="B19">
            <v>81.209999999999994</v>
          </cell>
        </row>
        <row r="20">
          <cell r="A20">
            <v>44626</v>
          </cell>
          <cell r="B20">
            <v>80.004999999999995</v>
          </cell>
        </row>
        <row r="21">
          <cell r="A21">
            <v>44629</v>
          </cell>
          <cell r="B21">
            <v>79.44</v>
          </cell>
        </row>
        <row r="22">
          <cell r="A22">
            <v>44630</v>
          </cell>
          <cell r="B22">
            <v>77.55</v>
          </cell>
        </row>
        <row r="23">
          <cell r="A23">
            <v>44631</v>
          </cell>
          <cell r="B23">
            <v>77.569999999999993</v>
          </cell>
        </row>
        <row r="24">
          <cell r="A24">
            <v>44632</v>
          </cell>
          <cell r="B24">
            <v>78.930000000000007</v>
          </cell>
        </row>
        <row r="25">
          <cell r="A25">
            <v>44633</v>
          </cell>
          <cell r="B25">
            <v>78.05</v>
          </cell>
        </row>
        <row r="26">
          <cell r="A26">
            <v>44642</v>
          </cell>
          <cell r="B26">
            <v>78.069999999999993</v>
          </cell>
        </row>
        <row r="27">
          <cell r="A27">
            <v>44637</v>
          </cell>
          <cell r="B27">
            <v>79.364999999999995</v>
          </cell>
        </row>
        <row r="28">
          <cell r="A28">
            <v>44638</v>
          </cell>
          <cell r="B28">
            <v>80.91</v>
          </cell>
        </row>
        <row r="29">
          <cell r="A29">
            <v>44639</v>
          </cell>
          <cell r="B29">
            <v>82.75</v>
          </cell>
        </row>
        <row r="30">
          <cell r="A30">
            <v>44640</v>
          </cell>
          <cell r="B30">
            <v>83.8</v>
          </cell>
        </row>
        <row r="31">
          <cell r="A31">
            <v>44643</v>
          </cell>
          <cell r="B31">
            <v>84.43</v>
          </cell>
        </row>
        <row r="32">
          <cell r="A32">
            <v>44644</v>
          </cell>
          <cell r="B32">
            <v>85.31</v>
          </cell>
        </row>
        <row r="33">
          <cell r="A33">
            <v>44645</v>
          </cell>
          <cell r="B33">
            <v>82.92</v>
          </cell>
        </row>
        <row r="34">
          <cell r="A34">
            <v>44646</v>
          </cell>
          <cell r="B34">
            <v>83.01</v>
          </cell>
        </row>
        <row r="35">
          <cell r="A35">
            <v>44647</v>
          </cell>
          <cell r="B35">
            <v>83.3</v>
          </cell>
        </row>
        <row r="36">
          <cell r="A36">
            <v>44650</v>
          </cell>
          <cell r="B36">
            <v>83.194999999999993</v>
          </cell>
        </row>
        <row r="37">
          <cell r="A37">
            <v>44651</v>
          </cell>
          <cell r="B37">
            <v>82.215000000000003</v>
          </cell>
        </row>
        <row r="38">
          <cell r="A38">
            <v>44652</v>
          </cell>
          <cell r="B38">
            <v>81.665000000000006</v>
          </cell>
        </row>
        <row r="39">
          <cell r="A39">
            <v>44653</v>
          </cell>
          <cell r="B39">
            <v>81.555000000000007</v>
          </cell>
        </row>
        <row r="40">
          <cell r="A40">
            <v>44657</v>
          </cell>
          <cell r="B40">
            <v>82.44</v>
          </cell>
        </row>
        <row r="41">
          <cell r="A41">
            <v>44658</v>
          </cell>
          <cell r="B41">
            <v>82.32</v>
          </cell>
        </row>
        <row r="42">
          <cell r="A42">
            <v>44659</v>
          </cell>
          <cell r="B42">
            <v>82.275000000000006</v>
          </cell>
        </row>
        <row r="43">
          <cell r="A43">
            <v>44660</v>
          </cell>
          <cell r="B43">
            <v>82.17</v>
          </cell>
        </row>
        <row r="44">
          <cell r="A44">
            <v>44661</v>
          </cell>
          <cell r="B44">
            <v>82.04</v>
          </cell>
        </row>
        <row r="45">
          <cell r="A45">
            <v>44664</v>
          </cell>
          <cell r="B45">
            <v>83.01</v>
          </cell>
        </row>
        <row r="46">
          <cell r="A46">
            <v>44665</v>
          </cell>
          <cell r="B46">
            <v>83.515000000000001</v>
          </cell>
        </row>
        <row r="47">
          <cell r="A47">
            <v>44666</v>
          </cell>
          <cell r="B47">
            <v>82.704999999999998</v>
          </cell>
        </row>
        <row r="48">
          <cell r="A48">
            <v>44673</v>
          </cell>
          <cell r="B48">
            <v>82.31</v>
          </cell>
        </row>
        <row r="49">
          <cell r="A49">
            <v>44668</v>
          </cell>
          <cell r="B49">
            <v>80.775000000000006</v>
          </cell>
        </row>
        <row r="50">
          <cell r="A50">
            <v>44671</v>
          </cell>
          <cell r="B50">
            <v>83.09</v>
          </cell>
        </row>
        <row r="51">
          <cell r="A51">
            <v>44672</v>
          </cell>
          <cell r="B51">
            <v>83.62</v>
          </cell>
        </row>
        <row r="52">
          <cell r="A52">
            <v>44673</v>
          </cell>
          <cell r="B52">
            <v>84.63</v>
          </cell>
        </row>
        <row r="53">
          <cell r="A53">
            <v>44674</v>
          </cell>
          <cell r="B53">
            <v>82.41</v>
          </cell>
        </row>
        <row r="54">
          <cell r="A54">
            <v>44675</v>
          </cell>
          <cell r="B54">
            <v>81.53</v>
          </cell>
        </row>
        <row r="55">
          <cell r="A55">
            <v>44678</v>
          </cell>
          <cell r="B55">
            <v>81.91</v>
          </cell>
        </row>
        <row r="56">
          <cell r="A56">
            <v>44679</v>
          </cell>
          <cell r="B56">
            <v>80.680000000000007</v>
          </cell>
        </row>
        <row r="57">
          <cell r="A57">
            <v>44680</v>
          </cell>
          <cell r="B57">
            <v>80.465000000000003</v>
          </cell>
        </row>
        <row r="58">
          <cell r="A58">
            <v>44681</v>
          </cell>
          <cell r="B58">
            <v>78.77</v>
          </cell>
        </row>
        <row r="59">
          <cell r="A59">
            <v>44682</v>
          </cell>
          <cell r="B59">
            <v>78.989999999999995</v>
          </cell>
        </row>
        <row r="60">
          <cell r="A60">
            <v>44685</v>
          </cell>
          <cell r="B60">
            <v>78.81</v>
          </cell>
        </row>
        <row r="61">
          <cell r="A61">
            <v>44686</v>
          </cell>
          <cell r="B61">
            <v>77.56</v>
          </cell>
        </row>
        <row r="62">
          <cell r="A62">
            <v>44687</v>
          </cell>
          <cell r="B62">
            <v>78.099999999999994</v>
          </cell>
        </row>
        <row r="63">
          <cell r="A63">
            <v>44688</v>
          </cell>
          <cell r="B63">
            <v>78.424999999999997</v>
          </cell>
        </row>
        <row r="64">
          <cell r="A64">
            <v>44689</v>
          </cell>
          <cell r="B64">
            <v>78.510000000000005</v>
          </cell>
        </row>
        <row r="65">
          <cell r="A65">
            <v>44692</v>
          </cell>
          <cell r="B65">
            <v>78.010000000000005</v>
          </cell>
        </row>
        <row r="66">
          <cell r="A66">
            <v>44693</v>
          </cell>
          <cell r="B66">
            <v>77.459999999999994</v>
          </cell>
        </row>
        <row r="67">
          <cell r="A67">
            <v>44694</v>
          </cell>
          <cell r="B67">
            <v>78.44</v>
          </cell>
        </row>
        <row r="68">
          <cell r="A68">
            <v>44695</v>
          </cell>
          <cell r="B68">
            <v>81.37</v>
          </cell>
        </row>
        <row r="69">
          <cell r="A69">
            <v>44696</v>
          </cell>
          <cell r="B69">
            <v>80.42</v>
          </cell>
        </row>
        <row r="70">
          <cell r="A70">
            <v>44699</v>
          </cell>
          <cell r="B70">
            <v>80.88</v>
          </cell>
        </row>
        <row r="71">
          <cell r="A71">
            <v>44700</v>
          </cell>
          <cell r="B71">
            <v>80.63</v>
          </cell>
        </row>
        <row r="72">
          <cell r="A72">
            <v>44701</v>
          </cell>
          <cell r="B72">
            <v>80.55</v>
          </cell>
        </row>
        <row r="73">
          <cell r="A73">
            <v>44702</v>
          </cell>
          <cell r="B73">
            <v>80.48</v>
          </cell>
        </row>
        <row r="74">
          <cell r="A74">
            <v>44703</v>
          </cell>
          <cell r="B74">
            <v>80.540000000000006</v>
          </cell>
        </row>
        <row r="75">
          <cell r="A75">
            <v>44707</v>
          </cell>
          <cell r="B75">
            <v>79.334999999999994</v>
          </cell>
        </row>
        <row r="76">
          <cell r="A76">
            <v>44708</v>
          </cell>
          <cell r="B76">
            <v>80.55</v>
          </cell>
        </row>
        <row r="77">
          <cell r="A77">
            <v>44709</v>
          </cell>
          <cell r="B77">
            <v>80.144999999999996</v>
          </cell>
        </row>
        <row r="78">
          <cell r="A78">
            <v>44710</v>
          </cell>
          <cell r="B78">
            <v>79.19</v>
          </cell>
        </row>
        <row r="79">
          <cell r="A79">
            <v>44713</v>
          </cell>
          <cell r="B79">
            <v>80.290000000000006</v>
          </cell>
        </row>
        <row r="80">
          <cell r="A80">
            <v>44714</v>
          </cell>
          <cell r="B80">
            <v>80.444999999999993</v>
          </cell>
        </row>
        <row r="81">
          <cell r="A81">
            <v>44715</v>
          </cell>
          <cell r="B81">
            <v>82.44</v>
          </cell>
        </row>
        <row r="82">
          <cell r="A82">
            <v>44716</v>
          </cell>
          <cell r="B82">
            <v>82.05</v>
          </cell>
        </row>
        <row r="83">
          <cell r="A83">
            <v>44717</v>
          </cell>
          <cell r="B83">
            <v>82.14</v>
          </cell>
        </row>
        <row r="84">
          <cell r="A84">
            <v>44720</v>
          </cell>
          <cell r="B84">
            <v>80.67</v>
          </cell>
        </row>
        <row r="85">
          <cell r="A85">
            <v>44721</v>
          </cell>
          <cell r="B85">
            <v>80.67</v>
          </cell>
        </row>
        <row r="86">
          <cell r="A86">
            <v>44722</v>
          </cell>
          <cell r="B86">
            <v>82.22</v>
          </cell>
        </row>
        <row r="87">
          <cell r="A87">
            <v>44723</v>
          </cell>
          <cell r="B87">
            <v>81.83</v>
          </cell>
        </row>
        <row r="88">
          <cell r="A88">
            <v>44724</v>
          </cell>
          <cell r="B88">
            <v>81.53</v>
          </cell>
        </row>
        <row r="89">
          <cell r="A89">
            <v>44727</v>
          </cell>
          <cell r="B89">
            <v>80.709999999999994</v>
          </cell>
        </row>
        <row r="90">
          <cell r="A90">
            <v>44734</v>
          </cell>
          <cell r="B90">
            <v>81.06</v>
          </cell>
        </row>
        <row r="91">
          <cell r="A91">
            <v>44729</v>
          </cell>
          <cell r="B91">
            <v>81.790000000000006</v>
          </cell>
        </row>
        <row r="92">
          <cell r="A92">
            <v>44730</v>
          </cell>
          <cell r="B92">
            <v>82.905000000000001</v>
          </cell>
        </row>
        <row r="93">
          <cell r="A93">
            <v>44731</v>
          </cell>
          <cell r="B93">
            <v>82.51</v>
          </cell>
        </row>
        <row r="94">
          <cell r="A94">
            <v>44734</v>
          </cell>
          <cell r="B94">
            <v>84.74</v>
          </cell>
        </row>
        <row r="95">
          <cell r="A95">
            <v>44735</v>
          </cell>
          <cell r="B95">
            <v>87.88</v>
          </cell>
        </row>
        <row r="96">
          <cell r="A96">
            <v>44736</v>
          </cell>
          <cell r="B96">
            <v>88.86</v>
          </cell>
        </row>
        <row r="97">
          <cell r="A97">
            <v>44737</v>
          </cell>
          <cell r="B97">
            <v>87.98</v>
          </cell>
        </row>
        <row r="98">
          <cell r="A98">
            <v>44738</v>
          </cell>
          <cell r="B98">
            <v>88.01</v>
          </cell>
        </row>
        <row r="99">
          <cell r="A99">
            <v>44741</v>
          </cell>
          <cell r="B99">
            <v>85.8</v>
          </cell>
        </row>
        <row r="100">
          <cell r="A100">
            <v>44742</v>
          </cell>
          <cell r="B100">
            <v>85.765000000000001</v>
          </cell>
        </row>
        <row r="101">
          <cell r="A101">
            <v>44743</v>
          </cell>
          <cell r="B101">
            <v>86.91</v>
          </cell>
        </row>
        <row r="102">
          <cell r="A102">
            <v>44744</v>
          </cell>
          <cell r="B102">
            <v>87.284999999999997</v>
          </cell>
        </row>
        <row r="103">
          <cell r="A103">
            <v>44748</v>
          </cell>
          <cell r="B103">
            <v>87.55</v>
          </cell>
        </row>
        <row r="104">
          <cell r="A104">
            <v>44749</v>
          </cell>
          <cell r="B104">
            <v>87.22</v>
          </cell>
        </row>
        <row r="105">
          <cell r="A105">
            <v>44750</v>
          </cell>
          <cell r="B105">
            <v>85.65</v>
          </cell>
        </row>
        <row r="106">
          <cell r="A106">
            <v>44751</v>
          </cell>
          <cell r="B106">
            <v>85.88</v>
          </cell>
        </row>
        <row r="107">
          <cell r="A107">
            <v>44752</v>
          </cell>
          <cell r="B107">
            <v>87.95</v>
          </cell>
        </row>
        <row r="108">
          <cell r="A108">
            <v>44755</v>
          </cell>
          <cell r="B108">
            <v>90.1</v>
          </cell>
        </row>
        <row r="109">
          <cell r="A109">
            <v>44756</v>
          </cell>
          <cell r="B109">
            <v>89.68</v>
          </cell>
        </row>
        <row r="110">
          <cell r="A110">
            <v>44757</v>
          </cell>
          <cell r="B110">
            <v>89.76</v>
          </cell>
        </row>
        <row r="111">
          <cell r="A111">
            <v>44764</v>
          </cell>
          <cell r="B111">
            <v>90.85</v>
          </cell>
        </row>
        <row r="112">
          <cell r="A112">
            <v>44759</v>
          </cell>
          <cell r="B112">
            <v>94.97</v>
          </cell>
        </row>
        <row r="113">
          <cell r="A113">
            <v>44762</v>
          </cell>
          <cell r="B113">
            <v>97.91</v>
          </cell>
        </row>
        <row r="114">
          <cell r="A114">
            <v>44763</v>
          </cell>
          <cell r="B114">
            <v>98.39</v>
          </cell>
        </row>
        <row r="115">
          <cell r="A115">
            <v>44764</v>
          </cell>
          <cell r="B115">
            <v>97.04</v>
          </cell>
        </row>
        <row r="116">
          <cell r="A116">
            <v>44765</v>
          </cell>
          <cell r="B116">
            <v>95.44</v>
          </cell>
        </row>
        <row r="117">
          <cell r="A117">
            <v>44766</v>
          </cell>
          <cell r="B117">
            <v>96.95</v>
          </cell>
        </row>
        <row r="118">
          <cell r="A118">
            <v>44769</v>
          </cell>
          <cell r="B118">
            <v>94.17</v>
          </cell>
        </row>
        <row r="119">
          <cell r="A119">
            <v>44770</v>
          </cell>
          <cell r="B119">
            <v>95.29</v>
          </cell>
        </row>
        <row r="120">
          <cell r="A120">
            <v>44771</v>
          </cell>
          <cell r="B120">
            <v>96.99</v>
          </cell>
        </row>
        <row r="121">
          <cell r="A121">
            <v>44772</v>
          </cell>
          <cell r="B121">
            <v>95.21</v>
          </cell>
        </row>
        <row r="122">
          <cell r="A122">
            <v>44773</v>
          </cell>
          <cell r="B122">
            <v>94.01</v>
          </cell>
        </row>
        <row r="123">
          <cell r="A123">
            <v>44776</v>
          </cell>
          <cell r="B123">
            <v>94.14</v>
          </cell>
        </row>
        <row r="124">
          <cell r="A124">
            <v>44777</v>
          </cell>
          <cell r="B124">
            <v>94.06</v>
          </cell>
        </row>
        <row r="125">
          <cell r="A125">
            <v>44778</v>
          </cell>
          <cell r="B125">
            <v>96.44</v>
          </cell>
        </row>
        <row r="126">
          <cell r="A126">
            <v>44779</v>
          </cell>
          <cell r="B126">
            <v>95.12</v>
          </cell>
        </row>
        <row r="127">
          <cell r="A127">
            <v>44780</v>
          </cell>
          <cell r="B127">
            <v>94.3</v>
          </cell>
        </row>
        <row r="128">
          <cell r="A128">
            <v>44781</v>
          </cell>
          <cell r="B128">
            <v>120</v>
          </cell>
        </row>
      </sheetData>
      <sheetData sheetId="20">
        <row r="2">
          <cell r="A2" t="str">
            <v>WenCaL</v>
          </cell>
          <cell r="B2">
            <v>14432</v>
          </cell>
        </row>
        <row r="3">
          <cell r="A3" t="str">
            <v>Blend</v>
          </cell>
          <cell r="B3">
            <v>17990</v>
          </cell>
          <cell r="F3" t="str">
            <v>Pes</v>
          </cell>
        </row>
        <row r="4">
          <cell r="A4" t="str">
            <v>Voltage</v>
          </cell>
          <cell r="B4">
            <v>15117</v>
          </cell>
          <cell r="F4" t="str">
            <v>Accord</v>
          </cell>
        </row>
        <row r="5">
          <cell r="A5" t="str">
            <v>Inkly</v>
          </cell>
          <cell r="B5">
            <v>11154</v>
          </cell>
        </row>
        <row r="6">
          <cell r="A6" t="str">
            <v>Sleops</v>
          </cell>
          <cell r="B6">
            <v>11022</v>
          </cell>
        </row>
        <row r="7">
          <cell r="A7" t="str">
            <v>Kind Ape</v>
          </cell>
          <cell r="B7">
            <v>8905</v>
          </cell>
        </row>
        <row r="8">
          <cell r="A8" t="str">
            <v>Pet Feed</v>
          </cell>
          <cell r="B8">
            <v>16735</v>
          </cell>
        </row>
        <row r="9">
          <cell r="A9" t="str">
            <v>Right App</v>
          </cell>
          <cell r="B9">
            <v>3635</v>
          </cell>
        </row>
        <row r="10">
          <cell r="A10" t="str">
            <v>Mirrrr</v>
          </cell>
          <cell r="B10">
            <v>15627</v>
          </cell>
        </row>
        <row r="11">
          <cell r="A11" t="str">
            <v>Halotot</v>
          </cell>
          <cell r="B11">
            <v>7270</v>
          </cell>
        </row>
        <row r="12">
          <cell r="A12" t="str">
            <v>Flowrrr</v>
          </cell>
          <cell r="B12">
            <v>5955</v>
          </cell>
        </row>
        <row r="13">
          <cell r="A13" t="str">
            <v>Silvrr</v>
          </cell>
          <cell r="B13">
            <v>7666</v>
          </cell>
        </row>
        <row r="14">
          <cell r="A14" t="str">
            <v>Dasring</v>
          </cell>
          <cell r="B14">
            <v>10857</v>
          </cell>
        </row>
        <row r="15">
          <cell r="A15" t="str">
            <v>Rehire</v>
          </cell>
          <cell r="B15">
            <v>9873</v>
          </cell>
        </row>
        <row r="16">
          <cell r="A16" t="str">
            <v>Didactic</v>
          </cell>
          <cell r="B16">
            <v>6405</v>
          </cell>
        </row>
        <row r="17">
          <cell r="A17" t="str">
            <v>Fightrr</v>
          </cell>
          <cell r="B17">
            <v>11649</v>
          </cell>
        </row>
        <row r="18">
          <cell r="A18" t="str">
            <v>Kryptis</v>
          </cell>
          <cell r="B18">
            <v>7718</v>
          </cell>
        </row>
        <row r="19">
          <cell r="A19" t="str">
            <v>Perino</v>
          </cell>
          <cell r="B19">
            <v>15033</v>
          </cell>
        </row>
        <row r="20">
          <cell r="A20" t="str">
            <v>Five Labs</v>
          </cell>
          <cell r="B20">
            <v>21579</v>
          </cell>
        </row>
        <row r="21">
          <cell r="A21" t="str">
            <v>Twistrr</v>
          </cell>
          <cell r="B21">
            <v>27210.600000000002</v>
          </cell>
        </row>
        <row r="22">
          <cell r="A22" t="str">
            <v>Hackrr</v>
          </cell>
          <cell r="B22">
            <v>18700.5</v>
          </cell>
        </row>
        <row r="23">
          <cell r="A23" t="str">
            <v>Pes</v>
          </cell>
          <cell r="B23">
            <v>45315.9</v>
          </cell>
        </row>
        <row r="24">
          <cell r="A24" t="str">
            <v>Baden</v>
          </cell>
          <cell r="B24">
            <v>35980</v>
          </cell>
        </row>
        <row r="25">
          <cell r="A25" t="str">
            <v>Jellyfish</v>
          </cell>
          <cell r="B25">
            <v>7657</v>
          </cell>
        </row>
        <row r="26">
          <cell r="A26" t="str">
            <v>Aviatrr</v>
          </cell>
          <cell r="B26">
            <v>8126</v>
          </cell>
        </row>
        <row r="27">
          <cell r="A27" t="str">
            <v>deRamblr</v>
          </cell>
          <cell r="B27">
            <v>5272</v>
          </cell>
        </row>
        <row r="28">
          <cell r="A28" t="str">
            <v>Arcade</v>
          </cell>
          <cell r="B28">
            <v>6375</v>
          </cell>
        </row>
        <row r="29">
          <cell r="A29" t="str">
            <v>Commuta</v>
          </cell>
          <cell r="B29">
            <v>6353</v>
          </cell>
        </row>
        <row r="30">
          <cell r="A30" t="str">
            <v>Infic</v>
          </cell>
          <cell r="B30">
            <v>12373</v>
          </cell>
        </row>
        <row r="31">
          <cell r="A31" t="str">
            <v>Accord</v>
          </cell>
          <cell r="B31">
            <v>17760</v>
          </cell>
        </row>
        <row r="32">
          <cell r="A32" t="str">
            <v>Misty Wash</v>
          </cell>
          <cell r="B32">
            <v>30399.599999999999</v>
          </cell>
        </row>
        <row r="33">
          <cell r="A33" t="str">
            <v>Twenty20</v>
          </cell>
          <cell r="B33">
            <v>20400</v>
          </cell>
        </row>
        <row r="34">
          <cell r="A34" t="str">
            <v>Tanox</v>
          </cell>
          <cell r="B34">
            <v>21088</v>
          </cell>
        </row>
        <row r="35">
          <cell r="A35" t="str">
            <v>Minor Liar</v>
          </cell>
          <cell r="B35">
            <v>23736.9</v>
          </cell>
        </row>
        <row r="36">
          <cell r="A36" t="str">
            <v>Mosquit</v>
          </cell>
          <cell r="B36">
            <v>6302</v>
          </cell>
        </row>
        <row r="37">
          <cell r="A37" t="str">
            <v>Atmos</v>
          </cell>
          <cell r="B37">
            <v>10675</v>
          </cell>
        </row>
        <row r="38">
          <cell r="A38" t="str">
            <v>Scrap</v>
          </cell>
          <cell r="B38">
            <v>13307</v>
          </cell>
        </row>
        <row r="39">
          <cell r="A39" t="str">
            <v>Motocyco</v>
          </cell>
          <cell r="B39">
            <v>11182</v>
          </cell>
        </row>
        <row r="40">
          <cell r="A40" t="str">
            <v>Amplefio</v>
          </cell>
          <cell r="B40">
            <v>8250</v>
          </cell>
        </row>
        <row r="41">
          <cell r="A41" t="str">
            <v>Strex</v>
          </cell>
          <cell r="B41">
            <v>8152</v>
          </cell>
        </row>
      </sheetData>
      <sheetData sheetId="21" refreshError="1"/>
      <sheetData sheetId="22" refreshError="1"/>
    </sheetDataSet>
  </externalBook>
</externalLink>
</file>

<file path=xl/richData/_rels/rdRichValueWebImage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ing.com/th?id=OSK.1b283907c23714ac8244f20ea63f79e3&amp;qlt=95" TargetMode="External"/><Relationship Id="rId2" Type="http://schemas.openxmlformats.org/officeDocument/2006/relationships/hyperlink" Target="https://www.bing.com/images/search?form=xlimg&amp;q=Brasil" TargetMode="External"/><Relationship Id="rId1" Type="http://schemas.openxmlformats.org/officeDocument/2006/relationships/hyperlink" Target="https://www.bing.com/th?id=OSK.acaf7231494e5a4a8ee318314814273b&amp;qlt=95" TargetMode="External"/><Relationship Id="rId6" Type="http://schemas.openxmlformats.org/officeDocument/2006/relationships/hyperlink" Target="https://www.bing.com/images/search?form=xlimg&amp;q=Argentina" TargetMode="External"/><Relationship Id="rId5" Type="http://schemas.openxmlformats.org/officeDocument/2006/relationships/hyperlink" Target="https://www.bing.com/th?id=OSK.4b80ee00960e1c0332a283d24ed7db5f&amp;qlt=95" TargetMode="External"/><Relationship Id="rId4" Type="http://schemas.openxmlformats.org/officeDocument/2006/relationships/hyperlink" Target="https://www.bing.com/images/search?form=xlimg&amp;q=Rep%c3%bablica%20Popular%20China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2">
      <keyFlags>
        <key name="%EntityService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2core">
      <keyFlags>
        <key name="%EntityService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DataRetrievedTime">
          <flag name="ShowInCardView" value="0"/>
          <flag name="ShowInDotNotation" value="0"/>
          <flag name="ShowInAutoComplete" value="0"/>
          <flag name="ExcludeFromCalcComparison" value="1"/>
        </key>
        <key name="%EntityDomainIdString">
          <flag name="ShowInCardView" value="0"/>
          <flag name="ShowInDotNotation" value="0"/>
          <flag name="ShowInAutoComplete" value="0"/>
        </key>
        <key name="%InfoToolTipLabelNames">
          <flag name="ShowInCardView" value="0"/>
          <flag name="ShowInDotNotation" value="0"/>
          <flag name="ShowInAutoComplete" value="0"/>
        </key>
        <key name="%InfoToolTipLabelValues">
          <flag name="ShowInCardView" value="0"/>
          <flag name="ShowInDotNotation" value="0"/>
          <flag name="ShowInAutoComplete" value="0"/>
        </key>
        <key name="%InfoToolTipLabelValuesType">
          <flag name="ShowInCardView" value="0"/>
          <flag name="ShowInDotNotation" value="0"/>
          <flag name="ShowInAutoComplete" value="0"/>
        </key>
        <key name="%DataProviderString">
          <flag name="ShowInCardView" value="0"/>
          <flag name="ShowInDotNotation" value="0"/>
          <flag name="ShowInAutoComplete" value="0"/>
        </key>
        <key name="%ClassificationId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moreImagesAddress r:id="rId2"/>
  </webImageSrd>
  <webImageSrd>
    <address r:id="rId3"/>
    <moreImagesAddress r:id="rId4"/>
  </webImageSrd>
  <webImageSrd>
    <address r:id="rId5"/>
    <moreImagesAddress r:id="rId6"/>
  </webImageSrd>
</webImagesSrd>
</file>

<file path=xl/richData/rdarray.xml><?xml version="1.0" encoding="utf-8"?>
<arrayData xmlns="http://schemas.microsoft.com/office/spreadsheetml/2017/richdata2" count="12">
  <a r="1">
    <v t="s">Idioma portugués</v>
  </a>
  <a r="2">
    <v t="r">19</v>
    <v t="r">20</v>
  </a>
  <a r="27">
    <v t="r">40</v>
    <v t="r">41</v>
    <v t="r">42</v>
    <v t="r">43</v>
    <v t="r">44</v>
    <v t="r">45</v>
    <v t="r">46</v>
    <v t="r">47</v>
    <v t="r">48</v>
    <v t="r">49</v>
    <v t="r">50</v>
    <v t="r">51</v>
    <v t="r">52</v>
    <v t="r">53</v>
    <v t="r">54</v>
    <v t="r">55</v>
    <v t="r">56</v>
    <v t="r">57</v>
    <v t="r">58</v>
    <v t="r">59</v>
    <v t="r">60</v>
    <v t="r">61</v>
    <v t="r">62</v>
    <v t="r">63</v>
    <v t="r">64</v>
    <v t="r">65</v>
    <v t="r">66</v>
  </a>
  <a r="3">
    <v t="s">Fernando de Noronha Time Zone</v>
    <v t="s">Brasília Time Zone</v>
    <v t="s">Amazon Time Zone</v>
  </a>
  <a r="1">
    <v t="s">Mandarín estándar</v>
  </a>
  <a r="4">
    <v t="r">94</v>
    <v t="r">95</v>
    <v t="r">96</v>
    <v t="r">97</v>
  </a>
  <a r="33">
    <v t="r">80</v>
    <v t="r">117</v>
    <v t="r">118</v>
    <v t="r">119</v>
    <v t="r">120</v>
    <v t="r">121</v>
    <v t="r">122</v>
    <v t="r">123</v>
    <v t="r">124</v>
    <v t="r">125</v>
    <v t="r">126</v>
    <v t="r">127</v>
    <v t="r">128</v>
    <v t="r">129</v>
    <v t="r">130</v>
    <v t="r">131</v>
    <v t="r">132</v>
    <v t="r">133</v>
    <v t="r">134</v>
    <v t="r">135</v>
    <v t="r">136</v>
    <v t="r">82</v>
    <v t="r">137</v>
    <v t="r">138</v>
    <v t="r">139</v>
    <v t="r">140</v>
    <v t="r">141</v>
    <v t="r">142</v>
    <v t="r">143</v>
    <v t="r">144</v>
    <v t="r">145</v>
    <v t="r">146</v>
    <v t="r">147</v>
  </a>
  <a r="1">
    <v t="s">Huso horario de China</v>
  </a>
  <a r="1">
    <v t="s">Español rioplatense</v>
  </a>
  <a r="2">
    <v t="r">174</v>
    <v t="r">175</v>
  </a>
  <a r="23">
    <v t="r">195</v>
    <v t="r">196</v>
    <v t="r">197</v>
    <v t="r">198</v>
    <v t="r">199</v>
    <v t="r">200</v>
    <v t="r">201</v>
    <v t="r">202</v>
    <v t="r">203</v>
    <v t="r">204</v>
    <v t="r">205</v>
    <v t="r">206</v>
    <v t="r">207</v>
    <v t="r">208</v>
    <v t="r">209</v>
    <v t="r">210</v>
    <v t="r">211</v>
    <v t="r">212</v>
    <v t="r">213</v>
    <v t="r">214</v>
    <v t="r">215</v>
    <v t="r">216</v>
    <v t="r">217</v>
  </a>
  <a r="1">
    <v t="s">Hora oficial argentina</v>
  </a>
</arrayData>
</file>

<file path=xl/richData/rdrichvalue.xml><?xml version="1.0" encoding="utf-8"?>
<rvData xmlns="http://schemas.microsoft.com/office/spreadsheetml/2017/richdata" count="227">
  <rv s="0">
    <v>12</v>
    <v>Población</v>
    <v>0</v>
  </rv>
  <rv s="1">
    <v>536870912</v>
    <v>Brasil</v>
    <v>a828cf41-b938-49fe-7986-4b336618d413</v>
    <v>es-ES</v>
    <v>Map</v>
  </rv>
  <rv s="2">
    <fb>8515767</fb>
    <v>24</v>
  </rv>
  <rv s="2">
    <fb>0.58931054038338704</fb>
    <v>25</v>
  </rv>
  <rv s="2">
    <fb>3.7329762121689397E-2</fb>
    <v>25</v>
  </rv>
  <rv s="1">
    <v>536870912</v>
    <v>Brasilia</v>
    <v>0f4c1a26-f33c-b6de-a63f-578da6617369</v>
    <v>es-MX</v>
    <v>Map</v>
  </rv>
  <rv s="2">
    <fb>1187361690000</fb>
    <v>26</v>
  </rv>
  <rv s="1">
    <v>536870912</v>
    <v>São Paulo</v>
    <v>c6cf2f6e-626c-4267-ae48-9e13ea74d2b9</v>
    <v>es-MX</v>
    <v>Map</v>
  </rv>
  <rv s="2">
    <fb>55</fb>
    <v>27</v>
  </rv>
  <rv s="2">
    <fb>59.1075326389753</fb>
    <v>28</v>
  </rv>
  <rv s="2">
    <fb>2619.96061573831</fb>
    <v>24</v>
  </rv>
  <rv s="2">
    <fb>462298.69</fb>
    <v>24</v>
  </rv>
  <rv s="2">
    <fb>75.671999999999997</fb>
    <v>28</v>
  </rv>
  <rv s="2">
    <fb>0.28289823089999999</fb>
    <v>25</v>
  </rv>
  <rv s="3">
    <v>0</v>
  </rv>
  <rv s="4">
    <v>0</v>
    <v>22</v>
    <v>2</v>
    <v>7</v>
    <v>0</v>
    <v>Image of Brasil</v>
  </rv>
  <rv s="2">
    <fb>0.14178605589771201</fb>
    <v>25</v>
  </rv>
  <rv s="2">
    <fb>167.397860280061</fb>
    <v>29</v>
  </rv>
  <rv s="5">
    <v>https://www.bing.com/search?q=Brasil&amp;form=skydnc</v>
    <v>Aprenda más con Bing</v>
  </rv>
  <rv s="1">
    <v>805306368</v>
    <v>Luiz Inácio Lula da Silva (Presidente)</v>
    <v>d1dff6dd-e1d9-642a-4044-fc3f6765ae2b</v>
    <v>es-MX</v>
    <v>Generic</v>
  </rv>
  <rv s="1">
    <v>805306368</v>
    <v>Geraldo Alckmin (Vicepresidente)</v>
    <v>ea2c259d-ca87-ae96-81e3-8e0b97870fa3</v>
    <v>es-MX</v>
    <v>Generic</v>
  </rv>
  <rv s="3">
    <v>1</v>
  </rv>
  <rv s="2">
    <fb>1.1544783999999999</fb>
    <v>25</v>
  </rv>
  <rv s="2">
    <fb>0.513436</fb>
    <v>25</v>
  </rv>
  <rv s="2">
    <fb>2.1499000000000001</fb>
    <v>30</v>
  </rv>
  <rv s="2">
    <fb>12.8</fb>
    <v>28</v>
  </rv>
  <rv s="2">
    <fb>1839758040765.6201</fb>
    <v>26</v>
  </rv>
  <rv s="2">
    <fb>215313498</fb>
    <v>24</v>
  </rv>
  <rv s="2">
    <fb>183241641</fb>
    <v>24</v>
  </rv>
  <rv s="2">
    <fb>0.42499999999999999</fb>
    <v>25</v>
  </rv>
  <rv s="2">
    <fb>0.01</fb>
    <v>25</v>
  </rv>
  <rv s="2">
    <fb>0.58399999999999996</fb>
    <v>25</v>
  </rv>
  <rv s="2">
    <fb>3.1E-2</fb>
    <v>25</v>
  </rv>
  <rv s="2">
    <fb>0.192</fb>
    <v>25</v>
  </rv>
  <rv s="2">
    <fb>0.63883998870849601</fb>
    <v>25</v>
  </rv>
  <rv s="2">
    <fb>7.2999999999999995E-2</fb>
    <v>25</v>
  </rv>
  <rv s="2">
    <fb>0.12</fb>
    <v>25</v>
  </rv>
  <rv s="2">
    <fb>1.02</fb>
    <v>31</v>
  </rv>
  <rv s="2">
    <fb>60</fb>
    <v>28</v>
  </rv>
  <rv s="2">
    <fb>1.53</fb>
    <v>31</v>
  </rv>
  <rv s="1">
    <v>536870912</v>
    <v>Acre</v>
    <v>8960bf27-5261-01d1-4019-e7d898f67bb4</v>
    <v>es-MX</v>
    <v>Map</v>
  </rv>
  <rv s="1">
    <v>536870912</v>
    <v>Amapá</v>
    <v>28d39e09-4b9f-31f6-cc72-48b1f9be59db</v>
    <v>es-MX</v>
    <v>Map</v>
  </rv>
  <rv s="1">
    <v>536870912</v>
    <v>Amazonas</v>
    <v>f79e57ca-6fc1-5a6a-015b-38d90f33902f</v>
    <v>es-MX</v>
    <v>Map</v>
  </rv>
  <rv s="1">
    <v>536870912</v>
    <v>Pará</v>
    <v>7a0db70a-73db-e83d-e548-6fab7a523b35</v>
    <v>es-MX</v>
    <v>Map</v>
  </rv>
  <rv s="1">
    <v>536870912</v>
    <v>Rondonia</v>
    <v>25fbe5d5-9bc1-0ec2-ac78-2d9fe5b147dd</v>
    <v>es-MX</v>
    <v>Map</v>
  </rv>
  <rv s="1">
    <v>536870912</v>
    <v>Roraima</v>
    <v>3b8383a2-7c79-31f6-2359-bd9ba2099213</v>
    <v>es-MX</v>
    <v>Map</v>
  </rv>
  <rv s="1">
    <v>536870912</v>
    <v>Tocantins</v>
    <v>f7a46dfe-e192-d6f7-e5f8-084e555ba7cb</v>
    <v>es-MX</v>
    <v>Map</v>
  </rv>
  <rv s="1">
    <v>536870912</v>
    <v>Alagoas</v>
    <v>4e3f1ba4-1948-0514-728a-55b34ab027b4</v>
    <v>es-MX</v>
    <v>Map</v>
  </rv>
  <rv s="1">
    <v>536870912</v>
    <v>Estado de Bahía</v>
    <v>e904684f-6d5b-f7bb-c27d-bdb50a0ec8ab</v>
    <v>es-MX</v>
    <v>Map</v>
  </rv>
  <rv s="1">
    <v>536870912</v>
    <v>Ceará</v>
    <v>b598e20e-29fb-ccf6-be0e-2650e6ba40c5</v>
    <v>es-MX</v>
    <v>Map</v>
  </rv>
  <rv s="1">
    <v>536870912</v>
    <v>Maranhão</v>
    <v>98274980-9da4-ff5e-78a1-e512bb4179ca</v>
    <v>es-MX</v>
    <v>Map</v>
  </rv>
  <rv s="1">
    <v>536870912</v>
    <v>Paraíba</v>
    <v>f5be810b-3322-2252-c10f-35206d84b548</v>
    <v>es-MX</v>
    <v>Map</v>
  </rv>
  <rv s="1">
    <v>536870912</v>
    <v>Pernambuco</v>
    <v>5538aab1-15ae-294f-2c10-f5083201cca1</v>
    <v>es-MX</v>
    <v>Map</v>
  </rv>
  <rv s="1">
    <v>536870912</v>
    <v>Piauí</v>
    <v>ab11433a-8357-ae6d-67fe-8570cc271399</v>
    <v>es-MX</v>
    <v>Map</v>
  </rv>
  <rv s="1">
    <v>536870912</v>
    <v>Río Grande del Norte</v>
    <v>4cccb40d-d26b-4493-e031-bcf803f1c2b1</v>
    <v>es-MX</v>
    <v>Map</v>
  </rv>
  <rv s="1">
    <v>536870912</v>
    <v>Sergipe</v>
    <v>a7f70762-a1ab-d5de-8bf0-3eb8532c1eb9</v>
    <v>es-MX</v>
    <v>Map</v>
  </rv>
  <rv s="1">
    <v>536870912</v>
    <v>Goiás</v>
    <v>38750702-647a-b72a-2cec-e4a55e078f36</v>
    <v>es-MX</v>
    <v>Map</v>
  </rv>
  <rv s="1">
    <v>536870912</v>
    <v>Mato Grosso</v>
    <v>af05c757-4d77-813e-b8eb-97635c07f37a</v>
    <v>es-MX</v>
    <v>Map</v>
  </rv>
  <rv s="1">
    <v>536870912</v>
    <v>Mato Grosso del Sur</v>
    <v>7de24933-1d79-fc85-387b-3ce7947910b6</v>
    <v>es-MX</v>
    <v>Map</v>
  </rv>
  <rv s="1">
    <v>536870912</v>
    <v>Espírito Santo</v>
    <v>dbc4d679-53e7-49d7-c6b3-88a4ca7f522f</v>
    <v>es-MX</v>
    <v>Map</v>
  </rv>
  <rv s="1">
    <v>536870912</v>
    <v>Minas Gerais</v>
    <v>974e2066-dee0-aecd-c973-50babb750033</v>
    <v>es-MX</v>
    <v>Map</v>
  </rv>
  <rv s="1">
    <v>536870912</v>
    <v>Estado de Río de Janeiro</v>
    <v>3f5a22fa-26bd-86f9-0345-3a6206e8aab5</v>
    <v>es-MX</v>
    <v>Map</v>
  </rv>
  <rv s="1">
    <v>536870912</v>
    <v>Estado de São Paulo</v>
    <v>4d56ae2d-1aad-8c4f-dca2-4456acc12f89</v>
    <v>es-MX</v>
    <v>Map</v>
  </rv>
  <rv s="1">
    <v>536870912</v>
    <v>Estado de Paraná</v>
    <v>a33450c4-459a-0682-41ee-635b343dd785</v>
    <v>es-MX</v>
    <v>Map</v>
  </rv>
  <rv s="1">
    <v>536870912</v>
    <v>Río Grande del Sur</v>
    <v>9644dbbf-be0c-de9c-a534-3d7ff4801a8b</v>
    <v>es-MX</v>
    <v>Map</v>
  </rv>
  <rv s="1">
    <v>536870912</v>
    <v>Santa Catarina</v>
    <v>6262969d-76c7-e65f-1be5-668011a93ff0</v>
    <v>es-MX</v>
    <v>Map</v>
  </rv>
  <rv s="1">
    <v>536870912</v>
    <v>Distrito Federal</v>
    <v>88dfc3b6-8e7a-694d-61b2-96d14f226ec4</v>
    <v>es-MX</v>
    <v>Map</v>
  </rv>
  <rv s="3">
    <v>2</v>
  </rv>
  <rv s="2">
    <fb>730000</fb>
    <v>24</v>
  </rv>
  <rv s="2">
    <fb>0.12083000183105501</fb>
    <v>32</v>
  </rv>
  <rv s="2">
    <fb>1.73</fb>
    <v>30</v>
  </rv>
  <rv s="2">
    <fb>0.65099999999999991</fb>
    <v>25</v>
  </rv>
  <rv s="2">
    <fb>13.923999999999999</fb>
    <v>30</v>
  </rv>
  <rv s="2">
    <fb>0.33924533448829503</fb>
    <v>25</v>
  </rv>
  <rv s="3">
    <v>3</v>
  </rv>
  <rv s="6">
    <v>#VALUE!</v>
    <v>es-ES</v>
    <v>a828cf41-b938-49fe-7986-4b336618d413</v>
    <v>536870912</v>
    <v>1</v>
    <v>16</v>
    <v>17</v>
    <v>18</v>
    <v>Brasil</v>
    <v>20</v>
    <v>21</v>
    <v>Map</v>
    <v>22</v>
    <v>23</v>
    <v>BR</v>
    <v>2</v>
    <v>3</v>
    <v>4</v>
    <v>5</v>
    <v>6</v>
    <v>7</v>
    <v>8</v>
    <v>BRL</v>
    <v>9</v>
    <v>10</v>
    <v>Brasil, oficialmente República Federativa de Brasil, es un país soberano de América del Sur que comprende la mitad oriental del continente y algunos grupos de pequeñas islas en el océano Atlántico. Su capital es Brasilia y su ciudad más poblada ...</v>
    <v>11</v>
    <v>12</v>
    <v>13</v>
    <v>Himno nacional del Brasil</v>
    <v>14</v>
    <v>15</v>
    <v>16</v>
    <v>17</v>
    <v>18</v>
    <v>21</v>
    <v>22</v>
    <v>23</v>
    <v>24</v>
    <v>25</v>
    <v>Brasil</v>
    <v>República Federativa do Brasil</v>
    <v>26</v>
    <v>27</v>
    <v>28</v>
    <v>29</v>
    <v>30</v>
    <v>31</v>
    <v>32</v>
    <v>33</v>
    <v>34</v>
    <v>35</v>
    <v>36</v>
    <v>37</v>
    <v>38</v>
    <v>39</v>
    <v>67</v>
    <v>68</v>
    <v>69</v>
    <v>70</v>
    <v>71</v>
    <v>72</v>
    <v>73</v>
    <v>Brasil</v>
    <v>mdp/vdpid/32</v>
    <v>74</v>
  </rv>
  <rv s="1">
    <v>536870912</v>
    <v>República Popular China</v>
    <v>5fcc3d97-0cf2-94e5-6dad-cd70e387bd69</v>
    <v>es-ES</v>
    <v>Map</v>
  </rv>
  <rv s="2">
    <fb>9596961</fb>
    <v>24</v>
  </rv>
  <rv s="2">
    <fb>0.22353941805732902</fb>
    <v>25</v>
  </rv>
  <rv s="2">
    <fb>2.8992357992594101E-2</fb>
    <v>25</v>
  </rv>
  <rv s="1">
    <v>536870912</v>
    <v>Pekín</v>
    <v>e43bc499-902a-5deb-aced-aa4a247e6822</v>
    <v>es-MX</v>
    <v>Map</v>
  </rv>
  <rv s="2">
    <fb>8515504380000</fb>
    <v>26</v>
  </rv>
  <rv s="1">
    <v>536870912</v>
    <v>Chongqing</v>
    <v>69bf0da4-4c0f-d795-e3d4-f2087fc9101e</v>
    <v>es-MX</v>
    <v>Map</v>
  </rv>
  <rv s="2">
    <fb>86</fb>
    <v>27</v>
  </rv>
  <rv s="2">
    <fb>87.670430768185398</fb>
    <v>28</v>
  </rv>
  <rv s="2">
    <fb>3927.0444999890101</fb>
    <v>24</v>
  </rv>
  <rv s="2">
    <fb>9893037.9519999996</fb>
    <v>24</v>
  </rv>
  <rv s="2">
    <fb>76.959999999999994</fb>
    <v>28</v>
  </rv>
  <rv s="2">
    <fb>0.32386296240000001</fb>
    <v>25</v>
  </rv>
  <rv s="3">
    <v>4</v>
  </rv>
  <rv s="4">
    <v>1</v>
    <v>22</v>
    <v>34</v>
    <v>7</v>
    <v>0</v>
    <v>Image of República Popular China</v>
  </rv>
  <rv s="2">
    <fb>9.4193182022714303E-2</fb>
    <v>25</v>
  </rv>
  <rv s="2">
    <fb>125.083155733959</fb>
    <v>29</v>
  </rv>
  <rv s="5">
    <v>https://www.bing.com/search?q=Rep%c3%bablica+Popular+China&amp;form=skydnc</v>
    <v>Aprenda más con Bing</v>
  </rv>
  <rv s="1">
    <v>805306368</v>
    <v>Xi Jinping (Secretario general)</v>
    <v>cd954b68-481c-b388-8b3d-6c0081dc9adf</v>
    <v>es-MX</v>
    <v>Generic</v>
  </rv>
  <rv s="1">
    <v>805306368</v>
    <v>Xi Jinping (Presidente)</v>
    <v>cd954b68-481c-b388-8b3d-6c0081dc9adf</v>
    <v>es-MX</v>
    <v>Generic</v>
  </rv>
  <rv s="1">
    <v>805306368</v>
    <v>Li Qiang (Premier)</v>
    <v>f0d727f0-3735-908f-e9a5-a6e2264d2e8e</v>
    <v>es-MX</v>
    <v>Generic</v>
  </rv>
  <rv s="1">
    <v>805306368</v>
    <v>Han Zheng (Vicepresidente)</v>
    <v>e9aab0c7-cc9c-fc04-646c-f65aabe8bd9a</v>
    <v>es-MX</v>
    <v>Generic</v>
  </rv>
  <rv s="3">
    <v>5</v>
  </rv>
  <rv s="2">
    <fb>1.0022275</fb>
    <v>25</v>
  </rv>
  <rv s="2">
    <fb>0.50604439999999995</fb>
    <v>25</v>
  </rv>
  <rv s="2">
    <fb>1.9798</fb>
    <v>30</v>
  </rv>
  <rv s="2">
    <fb>7.4</fb>
    <v>28</v>
  </rv>
  <rv s="2">
    <fb>18460000000000</fb>
    <v>26</v>
  </rv>
  <rv s="2">
    <fb>1412175000</fb>
    <v>24</v>
  </rv>
  <rv s="2">
    <fb>842933962</fb>
    <v>24</v>
  </rv>
  <rv s="2">
    <fb>0.29299999999999998</fb>
    <v>25</v>
  </rv>
  <rv s="2">
    <fb>2.7000000000000003E-2</fb>
    <v>25</v>
  </rv>
  <rv s="2">
    <fb>0.45299999999999996</fb>
    <v>25</v>
  </rv>
  <rv s="2">
    <fb>6.5000000000000002E-2</fb>
    <v>25</v>
  </rv>
  <rv s="2">
    <fb>0.222</fb>
    <v>25</v>
  </rv>
  <rv s="2">
    <fb>0.67986999511718804</fb>
    <v>25</v>
  </rv>
  <rv s="2">
    <fb>0.107</fb>
    <v>25</v>
  </rv>
  <rv s="2">
    <fb>0.153</fb>
    <v>25</v>
  </rv>
  <rv s="2">
    <fb>0.96</fb>
    <v>31</v>
  </rv>
  <rv s="2">
    <fb>29</fb>
    <v>28</v>
  </rv>
  <rv s="2">
    <fb>0.87</fb>
    <v>31</v>
  </rv>
  <rv s="1">
    <v>536870912</v>
    <v>Tianjin</v>
    <v>45fdbb85-8f7d-7f8b-dc59-7cb26189ef7d</v>
    <v>es-MX</v>
    <v>Map</v>
  </rv>
  <rv s="1">
    <v>536870912</v>
    <v>Hebei</v>
    <v>268021ac-4731-f143-328a-f385a6b2f343</v>
    <v>es-MX</v>
    <v>Map</v>
  </rv>
  <rv s="1">
    <v>536870912</v>
    <v>Shanxi</v>
    <v>075dd860-13e3-fb9e-dab0-6f2a22a59c5d</v>
    <v>es-MX</v>
    <v>Map</v>
  </rv>
  <rv s="1">
    <v>536870912</v>
    <v>Mongolia Interior</v>
    <v>2c74fdb2-19bf-0f2d-f20d-13b21d6103e6</v>
    <v>es-MX</v>
    <v>Map</v>
  </rv>
  <rv s="1">
    <v>536870912</v>
    <v>Liaoning</v>
    <v>50b9b45b-7555-8f4e-500a-81f90d66f392</v>
    <v>es-MX</v>
    <v>Map</v>
  </rv>
  <rv s="1">
    <v>536870912</v>
    <v>Jilin</v>
    <v>20bba38c-89a4-7448-c64a-9ec85a4ba341</v>
    <v>es-MX</v>
    <v>Map</v>
  </rv>
  <rv s="1">
    <v>536870912</v>
    <v>Heilongjiang</v>
    <v>a7c2e681-f80e-cae6-2ae7-fccb47f12008</v>
    <v>es-MX</v>
    <v>Map</v>
  </rv>
  <rv s="1">
    <v>536870912</v>
    <v>Shanghái</v>
    <v>29ece984-463e-6074-60e1-83f8c012ef70</v>
    <v>es-MX</v>
    <v>Map</v>
  </rv>
  <rv s="1">
    <v>536870912</v>
    <v>Jiangsu</v>
    <v>c979b1db-2e4e-7b88-511f-1cd5a525053c</v>
    <v>es-MX</v>
    <v>Map</v>
  </rv>
  <rv s="1">
    <v>536870912</v>
    <v>Zhejiang</v>
    <v>5464490d-3361-4945-967e-d8879b9c8415</v>
    <v>es-MX</v>
    <v>Map</v>
  </rv>
  <rv s="1">
    <v>536870912</v>
    <v>Anhui</v>
    <v>7a26b7d2-0ec9-86cd-351a-a9f347c4b9cd</v>
    <v>es-MX</v>
    <v>Map</v>
  </rv>
  <rv s="1">
    <v>536870912</v>
    <v>Fujian</v>
    <v>f7e228b4-20f3-6c06-f9d2-0e381cb472db</v>
    <v>es-MX</v>
    <v>Map</v>
  </rv>
  <rv s="1">
    <v>536870912</v>
    <v>Jiangxi</v>
    <v>60bbd587-912f-cf97-4a3b-4e9236f59153</v>
    <v>es-MX</v>
    <v>Map</v>
  </rv>
  <rv s="1">
    <v>536870912</v>
    <v>Shandong</v>
    <v>311c787d-5f0d-3960-4647-a0b3ee6bb863</v>
    <v>es-MX</v>
    <v>Map</v>
  </rv>
  <rv s="1">
    <v>536870912</v>
    <v>Henan</v>
    <v>e1b3708c-e5d8-671a-5b9c-e74cf7d11971</v>
    <v>es-MX</v>
    <v>Map</v>
  </rv>
  <rv s="1">
    <v>536870912</v>
    <v>Hubei</v>
    <v>03c5c53c-6c11-7737-b58a-31b9b73bce20</v>
    <v>es-MX</v>
    <v>Map</v>
  </rv>
  <rv s="1">
    <v>536870912</v>
    <v>Hunan</v>
    <v>84852e67-826c-7232-5aec-3bd5a776c21b</v>
    <v>es-MX</v>
    <v>Map</v>
  </rv>
  <rv s="1">
    <v>536870912</v>
    <v>Provincia de Cantón</v>
    <v>533d187e-5296-4200-eed8-55f3257c948f</v>
    <v>es-MX</v>
    <v>Map</v>
  </rv>
  <rv s="1">
    <v>536870912</v>
    <v>Guangxi</v>
    <v>b2e2f034-494c-f814-7555-fa5d56071d6f</v>
    <v>es-MX</v>
    <v>Map</v>
  </rv>
  <rv s="1">
    <v>536870912</v>
    <v>Hainan</v>
    <v>85cb11dd-f8f0-f5e0-35d3-42ce64c34e9e</v>
    <v>es-MX</v>
    <v>Map</v>
  </rv>
  <rv s="1">
    <v>536870912</v>
    <v>Sichuan</v>
    <v>49bf1471-e0d6-011f-bb5b-edd67fea0a6f</v>
    <v>es-MX</v>
    <v>Map</v>
  </rv>
  <rv s="1">
    <v>536870912</v>
    <v>Guizhou</v>
    <v>3025ec8b-299d-6131-4293-401f8dd1701e</v>
    <v>es-MX</v>
    <v>Map</v>
  </rv>
  <rv s="1">
    <v>536870912</v>
    <v>Yunnan</v>
    <v>62345ab8-b0e6-d4c5-87b4-0e7a5b39c7dc</v>
    <v>es-MX</v>
    <v>Map</v>
  </rv>
  <rv s="1">
    <v>536870912</v>
    <v>Hong Kong</v>
    <v>304df1d5-38ee-e835-eb2a-554caba5c30e</v>
    <v>es-MX</v>
    <v>Map</v>
  </rv>
  <rv s="1">
    <v>536870912</v>
    <v>Región autónoma del Tíbet</v>
    <v>47172d29-ddc9-3139-5851-4a08c8219822</v>
    <v>es-MX</v>
    <v>Map</v>
  </rv>
  <rv s="1">
    <v>536870912</v>
    <v>Shaanxi</v>
    <v>2c52cd90-c486-5a30-6fdf-b777d9331efd</v>
    <v>es-MX</v>
    <v>Map</v>
  </rv>
  <rv s="1">
    <v>536870912</v>
    <v>Gansu</v>
    <v>2bf7e5b1-3ba4-5943-77aa-7ac1cb9a0535</v>
    <v>es-MX</v>
    <v>Map</v>
  </rv>
  <rv s="1">
    <v>536870912</v>
    <v>Qinghai</v>
    <v>c8ddeac2-af7f-8ee9-dbac-33f9f697d88c</v>
    <v>es-MX</v>
    <v>Map</v>
  </rv>
  <rv s="1">
    <v>536870912</v>
    <v>Ningxia</v>
    <v>b9d307c1-70f4-a27f-6800-d624b3030236</v>
    <v>es-MX</v>
    <v>Map</v>
  </rv>
  <rv s="1">
    <v>536870912</v>
    <v>Sinkiang</v>
    <v>8e7874f1-5a52-a168-5737-ced81488dfca</v>
    <v>es-MX</v>
    <v>Map</v>
  </rv>
  <rv s="1">
    <v>536870912</v>
    <v>Macao</v>
    <v>d7203e23-120a-c7fd-485a-3fbcf88a3288</v>
    <v>es-MX</v>
    <v>Map</v>
  </rv>
  <rv s="3">
    <v>6</v>
  </rv>
  <rv s="2">
    <fb>2695000</fb>
    <v>24</v>
  </rv>
  <rv s="2">
    <fb>4.3200001716613798E-2</fb>
    <v>32</v>
  </rv>
  <rv s="2">
    <fb>1.69</fb>
    <v>30</v>
  </rv>
  <rv s="2">
    <fb>0.59200000000000008</fb>
    <v>25</v>
  </rv>
  <rv s="2">
    <fb>10.9</fb>
    <v>30</v>
  </rv>
  <rv s="2">
    <fb>0.56212313103349798</fb>
    <v>25</v>
  </rv>
  <rv s="3">
    <v>7</v>
  </rv>
  <rv s="6">
    <v>#VALUE!</v>
    <v>es-ES</v>
    <v>5fcc3d97-0cf2-94e5-6dad-cd70e387bd69</v>
    <v>536870912</v>
    <v>1</v>
    <v>38</v>
    <v>17</v>
    <v>18</v>
    <v>República Popular China</v>
    <v>20</v>
    <v>21</v>
    <v>Map</v>
    <v>22</v>
    <v>39</v>
    <v>CN</v>
    <v>77</v>
    <v>78</v>
    <v>79</v>
    <v>80</v>
    <v>81</v>
    <v>82</v>
    <v>83</v>
    <v>CNY</v>
    <v>84</v>
    <v>85</v>
    <v>La República Popular China, mayormente conocida como China, es un país soberano de Asia Oriental con capital en Pekín. Es el segundo país más poblado del mundo y la primera potencia económica mundial por PIB en términos de paridad de poder ...</v>
    <v>86</v>
    <v>87</v>
    <v>88</v>
    <v>Marcha de los voluntarios</v>
    <v>89</v>
    <v>90</v>
    <v>91</v>
    <v>92</v>
    <v>93</v>
    <v>98</v>
    <v>99</v>
    <v>100</v>
    <v>101</v>
    <v>102</v>
    <v>República Popular China</v>
    <v>中华人民共和国</v>
    <v>103</v>
    <v>104</v>
    <v>105</v>
    <v>106</v>
    <v>107</v>
    <v>108</v>
    <v>109</v>
    <v>110</v>
    <v>111</v>
    <v>112</v>
    <v>113</v>
    <v>114</v>
    <v>115</v>
    <v>116</v>
    <v>148</v>
    <v>149</v>
    <v>150</v>
    <v>151</v>
    <v>152</v>
    <v>153</v>
    <v>154</v>
    <v>República Popular China</v>
    <v>mdp/vdpid/45</v>
    <v>155</v>
  </rv>
  <rv s="1">
    <v>536870912</v>
    <v>Argentina</v>
    <v>87153d87-9bb0-166a-3d56-613bdc274e1b</v>
    <v>es-ES</v>
    <v>Map</v>
  </rv>
  <rv s="2">
    <fb>2780400</fb>
    <v>24</v>
  </rv>
  <rv s="2">
    <fb>9.7984058182512504E-2</fb>
    <v>25</v>
  </rv>
  <rv s="2">
    <fb>0.53548304349234199</fb>
    <v>25</v>
  </rv>
  <rv s="1">
    <v>536870912</v>
    <v>Buenos Aires</v>
    <v>857a6814-3fe8-c414-84da-24018be87fce</v>
    <v>es-MX</v>
    <v>Map</v>
  </rv>
  <rv s="2">
    <fb>39393540000</fb>
    <v>26</v>
  </rv>
  <rv s="2">
    <fb>54</fb>
    <v>27</v>
  </rv>
  <rv s="2">
    <fb>87.722407479689195</fb>
    <v>28</v>
  </rv>
  <rv s="2">
    <fb>3074.70207056563</fb>
    <v>24</v>
  </rv>
  <rv s="2">
    <fb>201347.636</fb>
    <v>24</v>
  </rv>
  <rv s="2">
    <fb>76.52</fb>
    <v>28</v>
  </rv>
  <rv s="2">
    <fb>0.17628076140000001</fb>
    <v>25</v>
  </rv>
  <rv s="3">
    <v>8</v>
  </rv>
  <rv s="4">
    <v>2</v>
    <v>22</v>
    <v>41</v>
    <v>7</v>
    <v>0</v>
    <v>Image of Argentina</v>
  </rv>
  <rv s="2">
    <fb>0.10087499305375699</fb>
    <v>25</v>
  </rv>
  <rv s="2">
    <fb>232.75109166666701</fb>
    <v>29</v>
  </rv>
  <rv s="5">
    <v>https://www.bing.com/search?q=Argentina&amp;form=skydnc</v>
    <v>Aprenda más con Bing</v>
  </rv>
  <rv s="1">
    <v>805306368</v>
    <v>Javier Milei (Presidente)</v>
    <v>9e292152-d659-8459-891a-e2e34df73a4f</v>
    <v>es-MX</v>
    <v>Generic</v>
  </rv>
  <rv s="1">
    <v>805306368</v>
    <v>Victoria Villarruel (Vicepresidente)</v>
    <v>c9d496be-e912-ca9e-b72e-cd37e371c69a</v>
    <v>es-MX</v>
    <v>Generic</v>
  </rv>
  <rv s="3">
    <v>9</v>
  </rv>
  <rv s="2">
    <fb>1.0974146</fb>
    <v>25</v>
  </rv>
  <rv s="2">
    <fb>0.89958519999999997</fb>
    <v>25</v>
  </rv>
  <rv s="2">
    <fb>3.96</fb>
    <v>30</v>
  </rv>
  <rv s="2">
    <fb>8.8000000000000007</fb>
    <v>28</v>
  </rv>
  <rv s="2">
    <fb>449663446954.073</fb>
    <v>26</v>
  </rv>
  <rv s="2">
    <fb>46234830</fb>
    <v>24</v>
  </rv>
  <rv s="2">
    <fb>41339571</fb>
    <v>24</v>
  </rv>
  <rv s="2">
    <fb>0.29899999999999999</fb>
    <v>25</v>
  </rv>
  <rv s="2">
    <fb>1.8000000000000002E-2</fb>
    <v>25</v>
  </rv>
  <rv s="2">
    <fb>0.46500000000000002</fb>
    <v>25</v>
  </rv>
  <rv s="2">
    <fb>0.05</fb>
    <v>25</v>
  </rv>
  <rv s="2">
    <fb>0.23199999999999998</fb>
    <v>25</v>
  </rv>
  <rv s="2">
    <fb>0.61301998138427694</fb>
    <v>25</v>
  </rv>
  <rv s="2">
    <fb>9.9000000000000005E-2</fb>
    <v>25</v>
  </rv>
  <rv s="2">
    <fb>0.154</fb>
    <v>25</v>
  </rv>
  <rv s="2">
    <fb>1.1000000000000001</fb>
    <v>31</v>
  </rv>
  <rv s="2">
    <fb>39</fb>
    <v>28</v>
  </rv>
  <rv s="2">
    <fb>3.35</fb>
    <v>31</v>
  </rv>
  <rv s="1">
    <v>536870912</v>
    <v>Provincia de Buenos Aires</v>
    <v>83e02b50-6d03-7c2c-eadf-7346066b2dea</v>
    <v>es-MX</v>
    <v>Map</v>
  </rv>
  <rv s="1">
    <v>536870912</v>
    <v>Provincia de Catamarca</v>
    <v>3c1c44fb-1be4-0807-a41a-389b53882281</v>
    <v>es-MX</v>
    <v>Map</v>
  </rv>
  <rv s="1">
    <v>536870912</v>
    <v>Provincia del Chaco</v>
    <v>7ba7eceb-7d6e-ca38-3de8-8edff91abe6c</v>
    <v>es-MX</v>
    <v>Map</v>
  </rv>
  <rv s="1">
    <v>536870912</v>
    <v>Provincia de Córdoba</v>
    <v>ee360e95-eb6e-6500-1854-d0ba2979c8c5</v>
    <v>es-MX</v>
    <v>Map</v>
  </rv>
  <rv s="1">
    <v>536870912</v>
    <v>Provincia de Corrientes</v>
    <v>370306e6-e553-7210-5bdd-cba530b5bb5e</v>
    <v>es-MX</v>
    <v>Map</v>
  </rv>
  <rv s="1">
    <v>536870912</v>
    <v>Provincia de Entre Ríos</v>
    <v>8f271891-a2e7-4452-b33a-32b209204098</v>
    <v>es-MX</v>
    <v>Map</v>
  </rv>
  <rv s="1">
    <v>536870912</v>
    <v>Provincia de Formosa</v>
    <v>2c10e13d-832d-d54f-08b1-364c9870d186</v>
    <v>es-MX</v>
    <v>Map</v>
  </rv>
  <rv s="1">
    <v>536870912</v>
    <v>Provincia de Jujuy</v>
    <v>4336eba8-fc73-200e-9d91-4273dd01d498</v>
    <v>es-MX</v>
    <v>Map</v>
  </rv>
  <rv s="1">
    <v>536870912</v>
    <v>Provincia de La Pampa</v>
    <v>44de277d-e840-a824-59d9-b6a9740aba03</v>
    <v>es-MX</v>
    <v>Map</v>
  </rv>
  <rv s="1">
    <v>536870912</v>
    <v>Provincia de La Rioja</v>
    <v>dac821c4-934d-98a0-3515-ecf294d05f34</v>
    <v>es-MX</v>
    <v>Map</v>
  </rv>
  <rv s="1">
    <v>536870912</v>
    <v>Provincia de Mendoza</v>
    <v>67d55d79-bbf5-f1ea-b2b6-9eaf7f8cbf5c</v>
    <v>es-MX</v>
    <v>Map</v>
  </rv>
  <rv s="1">
    <v>536870912</v>
    <v>Provincia de Misiones</v>
    <v>b5dd089e-a58d-3344-220d-67d53fbe2b62</v>
    <v>es-MX</v>
    <v>Map</v>
  </rv>
  <rv s="1">
    <v>536870912</v>
    <v>Provincia del Neuquén</v>
    <v>bf5efd04-a076-eedb-ad38-b133bbf30276</v>
    <v>es-MX</v>
    <v>Map</v>
  </rv>
  <rv s="1">
    <v>536870912</v>
    <v>Provincia de Río Negro</v>
    <v>d2c8f222-11b8-dd86-e0ab-8d14cb406edc</v>
    <v>es-MX</v>
    <v>Map</v>
  </rv>
  <rv s="1">
    <v>536870912</v>
    <v>Provincia de Salta</v>
    <v>f6ae2fbd-0520-148c-3526-8bf23d36cb82</v>
    <v>es-MX</v>
    <v>Map</v>
  </rv>
  <rv s="1">
    <v>536870912</v>
    <v>Provincia de San Juan</v>
    <v>17fa2e93-239c-11e6-f03e-d1c2f5cce2fe</v>
    <v>es-MX</v>
    <v>Map</v>
  </rv>
  <rv s="1">
    <v>536870912</v>
    <v>Provincia de San Luis</v>
    <v>5bdf188c-b213-ac45-dd24-12759c1ef35f</v>
    <v>es-MX</v>
    <v>Map</v>
  </rv>
  <rv s="1">
    <v>536870912</v>
    <v>Provincia de Santa Cruz</v>
    <v>33b38460-8bb6-75dd-5a16-ccfffb6378dc</v>
    <v>es-MX</v>
    <v>Map</v>
  </rv>
  <rv s="1">
    <v>536870912</v>
    <v>Provincia de Santa Fe</v>
    <v>7e0bc671-7ee3-bfe7-3fbf-0780b251b2f6</v>
    <v>es-MX</v>
    <v>Map</v>
  </rv>
  <rv s="1">
    <v>536870912</v>
    <v>Provincia de Santiago del Estero</v>
    <v>ec88ec56-2be0-4304-ab71-391ce9c013de</v>
    <v>es-MX</v>
    <v>Map</v>
  </rv>
  <rv s="1">
    <v>536870912</v>
    <v>Provincia de Tierra del Fuego, Antártida e Islas del Atlántico Sur</v>
    <v>3bb8cbb1-ced9-fc53-1bf4-d1685a3435ea</v>
    <v>es-MX</v>
    <v>Map</v>
  </rv>
  <rv s="1">
    <v>536870912</v>
    <v>Provincia de Tucumán</v>
    <v>4f81112c-c69e-b6cc-2acc-73c36fc9a0aa</v>
    <v>es-MX</v>
    <v>Map</v>
  </rv>
  <rv s="1">
    <v>536870912</v>
    <v>Provincia del Chubut</v>
    <v>893cfb2e-6128-06e8-d927-6cdee06773f8</v>
    <v>es-MX</v>
    <v>Map</v>
  </rv>
  <rv s="3">
    <v>10</v>
  </rv>
  <rv s="2">
    <fb>105000</fb>
    <v>24</v>
  </rv>
  <rv s="2">
    <fb>9.7889995574951205E-2</fb>
    <v>32</v>
  </rv>
  <rv s="2">
    <fb>2.2610000000000001</fb>
    <v>30</v>
  </rv>
  <rv s="2">
    <fb>1.0629999999999999</fb>
    <v>25</v>
  </rv>
  <rv s="2">
    <fb>17.021000000000001</fb>
    <v>30</v>
  </rv>
  <rv s="2">
    <fb>0.54335712119385104</fb>
    <v>25</v>
  </rv>
  <rv s="3">
    <v>11</v>
  </rv>
  <rv s="6">
    <v>#VALUE!</v>
    <v>es-ES</v>
    <v>87153d87-9bb0-166a-3d56-613bdc274e1b</v>
    <v>536870912</v>
    <v>1</v>
    <v>44</v>
    <v>17</v>
    <v>18</v>
    <v>Argentina</v>
    <v>20</v>
    <v>21</v>
    <v>Map</v>
    <v>22</v>
    <v>45</v>
    <v>AR</v>
    <v>158</v>
    <v>159</v>
    <v>160</v>
    <v>161</v>
    <v>162</v>
    <v>161</v>
    <v>163</v>
    <v>ARS</v>
    <v>164</v>
    <v>165</v>
    <v>Argentina, oficialmente República Argentina, es un país soberano de América del Sur, ubicado en el extremo sur y sudeste de dicho subcontinente. Adopta la forma de gobierno republicana, democrática, representativa y federal.</v>
    <v>166</v>
    <v>167</v>
    <v>168</v>
    <v>Himno Nacional Argentino</v>
    <v>169</v>
    <v>170</v>
    <v>171</v>
    <v>172</v>
    <v>173</v>
    <v>176</v>
    <v>177</v>
    <v>178</v>
    <v>179</v>
    <v>180</v>
    <v>Argentina</v>
    <v>República Argentina</v>
    <v>181</v>
    <v>182</v>
    <v>183</v>
    <v>184</v>
    <v>185</v>
    <v>186</v>
    <v>187</v>
    <v>188</v>
    <v>189</v>
    <v>190</v>
    <v>191</v>
    <v>192</v>
    <v>193</v>
    <v>194</v>
    <v>218</v>
    <v>219</v>
    <v>220</v>
    <v>221</v>
    <v>222</v>
    <v>223</v>
    <v>224</v>
    <v>Argentina</v>
    <v>mdp/vdpid/11</v>
    <v>225</v>
  </rv>
</rvData>
</file>

<file path=xl/richData/rdrichvaluestructure.xml><?xml version="1.0" encoding="utf-8"?>
<rvStructures xmlns="http://schemas.microsoft.com/office/spreadsheetml/2017/richdata" count="7">
  <s t="_error">
    <k n="errorType" t="i"/>
    <k n="field" t="s"/>
    <k n="subType" t="i"/>
  </s>
  <s t="_linkedentity2">
    <k n="%EntityServiceId" t="i"/>
    <k n="_DisplayString" t="s"/>
    <k n="%EntityId" t="s"/>
    <k n="%EntityCulture" t="s"/>
    <k n="_Icon" t="s"/>
  </s>
  <s t="_formattednumber">
    <k n="_Format" t="spb"/>
  </s>
  <s t="_array">
    <k n="array" t="a"/>
  </s>
  <s t="_webimage">
    <k n="WebImageIdentifier" t="i"/>
    <k n="_Provider" t="spb"/>
    <k n="Attribution" t="spb"/>
    <k n="CalcOrigin" t="i"/>
    <k n="ComputedImage" t="b"/>
    <k n="Text" t="s"/>
  </s>
  <s t="_hyperlink">
    <k n="Address" t="s"/>
    <k n="Text" t="s"/>
  </s>
  <s t="_linkedentity2core">
    <k n="_CRID" t="e"/>
    <k n="%EntityCulture" t="s"/>
    <k n="%EntityId" t="s"/>
    <k n="%EntityServiceId" t="i"/>
    <k n="%IsRefreshable" t="b"/>
    <k n="_Attribution" t="spb"/>
    <k n="_CanonicalPropertyNames" t="spb"/>
    <k n="_Display" t="spb"/>
    <k n="_DisplayString" t="s"/>
    <k n="_Flags" t="spb"/>
    <k n="_Format" t="spb"/>
    <k n="_Icon" t="s"/>
    <k n="_Provider" t="spb"/>
    <k n="_SubLabel" t="spb"/>
    <k n="Abreviatura" t="s"/>
    <k n="`Área" t="r"/>
    <k n="`Área de bosque (%)" t="r"/>
    <k n="Cambio de IPC (%)" t="r"/>
    <k n="Capital/ciudad principal" t="r"/>
    <k n="Capitalización de mercado de las sociedades cotizadas" t="r"/>
    <k n="Ciudad más grande" t="r"/>
    <k n="Código de llamada" t="r"/>
    <k n="Código de moneda" t="s"/>
    <k n="Consumo de energía de combustibles fósiles" t="r"/>
    <k n="Consumo de energía eléctrica" t="r"/>
    <k n="Descripción" t="s"/>
    <k n="Emisiones de dióxido de carbono" t="r"/>
    <k n="Esperanza de vida" t="r"/>
    <k n="Gastos de salud varios (%)" t="r"/>
    <k n="Himno nacional" t="s"/>
    <k n="Idioma oficial" t="r"/>
    <k n="Imagen" t="r"/>
    <k n="Ingresos fiscales (%)" t="r"/>
    <k n="IPC" t="r"/>
    <k n="LearnMoreOnLink" t="r"/>
    <k n="Líder(es)" t="r"/>
    <k n="Matriculación en educación primaria en bruto (%)" t="r"/>
    <k n="Matriculación en educación terciaria en bruto (%)" t="r"/>
    <k n="Médicos por mil" t="r"/>
    <k n="Mortalidad infantil" t="r"/>
    <k n="Nombre" t="s"/>
    <k n="Nombre oficial" t="s"/>
    <k n="PIB" t="r"/>
    <k n="Población" t="r"/>
    <k n="Población urbana" t="r"/>
    <k n="Población: 10% más alto de participación de ingresos" t="r"/>
    <k n="Población: 10% más bajo de participación de ingresos" t="r"/>
    <k n="Población: 20% más alto de participación de ingresos" t="r"/>
    <k n="Población: 20% más bajo de participación de ingresos" t="r"/>
    <k n="Población: cuarto 20% de participación de ingresos" t="r"/>
    <k n="Población: participación en la fuerza laboral (%)" t="r"/>
    <k n="Población: segundo 20% de participación de ingresos" t="r"/>
    <k n="Población: tercer 20% de participación de ingresos" t="r"/>
    <k n="Precio de la gasolina" t="r"/>
    <k n="Ratio de mortalidad materna" t="r"/>
    <k n="Salario mínimo" t="r"/>
    <k n="Subdivisiones" t="r"/>
    <k n="Tamaño de las fuerzas armadas" t="r"/>
    <k n="Tasa de desempleo" t="r"/>
    <k n="Tasa de fertilidad" t="r"/>
    <k n="Tasa de impuesto total" t="r"/>
    <k n="Tasa de natalidad" t="r"/>
    <k n="Tierra agrícola (%)" t="r"/>
    <k n="UniqueName" t="s"/>
    <k n="VDPID/VSID" t="s"/>
    <k n="Zona(s) horaria(s)" t="r"/>
  </s>
</rvStructures>
</file>

<file path=xl/richData/rdsupportingpropertybag.xml><?xml version="1.0" encoding="utf-8"?>
<supportingPropertyBags xmlns="http://schemas.microsoft.com/office/spreadsheetml/2017/richdata2">
  <spbArrays count="1">
    <a count="65">
      <v t="s">%EntityServiceId</v>
      <v t="s">%IsRefreshable</v>
      <v t="s">_CanonicalPropertyNames</v>
      <v t="s">%EntityCulture</v>
      <v t="s">%EntityId</v>
      <v t="s">_Icon</v>
      <v t="s">_Provider</v>
      <v t="s">_Attribution</v>
      <v t="s">_Display</v>
      <v t="s">Nombre</v>
      <v t="s">_Format</v>
      <v t="s">Capital/ciudad principal</v>
      <v t="s">Líder(es)</v>
      <v t="s">_SubLabel</v>
      <v t="s">Población</v>
      <v t="s">`Área</v>
      <v t="s">Abreviatura</v>
      <v t="s">PIB</v>
      <v t="s">Código de moneda</v>
      <v t="s">Ciudad más grande</v>
      <v t="s">Himno nacional</v>
      <v t="s">Idioma oficial</v>
      <v t="s">Nombre oficial</v>
      <v t="s">Subdivisiones</v>
      <v t="s">Esperanza de vida</v>
      <v t="s">Tasa de natalidad</v>
      <v t="s">Tasa de fertilidad</v>
      <v t="s">Mortalidad infantil</v>
      <v t="s">Ratio de mortalidad materna</v>
      <v t="s">Población urbana</v>
      <v t="s">Tierra agrícola (%)</v>
      <v t="s">`Área de bosque (%)</v>
      <v t="s">Emisiones de dióxido de carbono</v>
      <v t="s">Consumo de energía de combustibles fósiles</v>
      <v t="s">Precio de la gasolina</v>
      <v t="s">Consumo de energía eléctrica</v>
      <v t="s">IPC</v>
      <v t="s">Cambio de IPC (%)</v>
      <v t="s">Población: 10% más alto de participación de ingresos</v>
      <v t="s">Población: 20% más alto de participación de ingresos</v>
      <v t="s">Población: segundo 20% de participación de ingresos</v>
      <v t="s">Población: tercer 20% de participación de ingresos</v>
      <v t="s">Población: cuarto 20% de participación de ingresos</v>
      <v t="s">Población: 20% más bajo de participación de ingresos</v>
      <v t="s">Población: 10% más bajo de participación de ingresos</v>
      <v t="s">Población: participación en la fuerza laboral (%)</v>
      <v t="s">Salario mínimo</v>
      <v t="s">Ingresos fiscales (%)</v>
      <v t="s">Tasa de impuesto total</v>
      <v t="s">Tasa de desempleo</v>
      <v t="s">Capitalización de mercado de las sociedades cotizadas</v>
      <v t="s">Matriculación en educación primaria en bruto (%)</v>
      <v t="s">Matriculación en educación terciaria en bruto (%)</v>
      <v t="s">Gastos de salud varios (%)</v>
      <v t="s">Médicos por mil</v>
      <v t="s">Tamaño de las fuerzas armadas</v>
      <v t="s">Zona(s) horaria(s)</v>
      <v t="s">Código de llamada</v>
      <v t="s">_Flags</v>
      <v t="s">VDPID/VSID</v>
      <v t="s">UniqueName</v>
      <v t="s">_DisplayString</v>
      <v t="s">LearnMoreOnLink</v>
      <v t="s">Imagen</v>
      <v t="s">Descripción</v>
    </a>
  </spbArrays>
  <spbData count="46">
    <spb s="0">
      <v xml:space="preserve">data.worldbank.org	</v>
      <v xml:space="preserve">	</v>
      <v xml:space="preserve">http://data.worldbank.org/indicator/FP.CPI.TOTL	</v>
      <v xml:space="preserve">	</v>
    </spb>
    <spb s="0">
      <v xml:space="preserve">Wikipedia	Cia	travel.state.gov	</v>
      <v xml:space="preserve">CC-BY-SA			</v>
      <v xml:space="preserve">http://en.wikipedia.org/wiki/Brazil	https://www.cia.gov/library/publications/the-world-factbook/geos/br.html?Transportation	https://travel.state.gov/content/travel/en/international-travel/International-Travel-Country-Information-Pages/Brazil.html	</v>
      <v xml:space="preserve">http://creativecommons.org/licenses/by-sa/3.0/			</v>
    </spb>
    <spb s="0">
      <v xml:space="preserve">Wikipedia	</v>
      <v xml:space="preserve">CC BY-SA 3.0	</v>
      <v xml:space="preserve">https://es.wikipedia.org/wiki/Brasil	</v>
      <v xml:space="preserve">https://creativecommons.org/licenses/by-sa/3.0	</v>
    </spb>
    <spb s="0">
      <v xml:space="preserve">Wikipedia	</v>
      <v xml:space="preserve">CC-BY-SA	</v>
      <v xml:space="preserve">http://en.wikipedia.org/wiki/Brazil	</v>
      <v xml:space="preserve">http://creativecommons.org/licenses/by-sa/3.0/	</v>
    </spb>
    <spb s="0">
      <v xml:space="preserve">data.worldbank.org	</v>
      <v xml:space="preserve">	</v>
      <v xml:space="preserve">http://data.worldbank.org/indicator/SH.MED.PHYS.ZS	</v>
      <v xml:space="preserve">	</v>
    </spb>
    <spb s="0">
      <v xml:space="preserve">data.worldbank.org	</v>
      <v xml:space="preserve">	</v>
      <v xml:space="preserve">http://data.worldbank.org/indicator/SP.URB.TOTL	</v>
      <v xml:space="preserve">	</v>
    </spb>
    <spb s="0">
      <v xml:space="preserve">Cia	</v>
      <v xml:space="preserve">	</v>
      <v xml:space="preserve">https://www.cia.gov/library/publications/the-world-factbook/geos/br.html?Transportation	</v>
      <v xml:space="preserve">	</v>
    </spb>
    <spb s="0">
      <v xml:space="preserve">data.worldbank.org	</v>
      <v xml:space="preserve">	</v>
      <v xml:space="preserve">http://data.worldbank.org/indicator/SP.DYN.LE00.IN	</v>
      <v xml:space="preserve">	</v>
    </spb>
    <spb s="0">
      <v xml:space="preserve">data.worldbank.org	</v>
      <v xml:space="preserve">	</v>
      <v xml:space="preserve">http://data.worldbank.org/indicator/SP.DYN.CBRT.IN	</v>
      <v xml:space="preserve">	</v>
    </spb>
    <spb s="0">
      <v xml:space="preserve">data.worldbank.org	</v>
      <v xml:space="preserve">	</v>
      <v xml:space="preserve">http://data.worldbank.org/indicator/SP.DYN.TFRT.IN	</v>
      <v xml:space="preserve">	</v>
    </spb>
    <spb s="0">
      <v xml:space="preserve">data.worldbank.org	</v>
      <v xml:space="preserve">	</v>
      <v xml:space="preserve">http://data.worldbank.org/indicator/SP.DYN.IMRT.IN	</v>
      <v xml:space="preserve">	</v>
    </spb>
    <spb s="0">
      <v xml:space="preserve">data.worldbank.org	</v>
      <v xml:space="preserve">	</v>
      <v xml:space="preserve">http://data.worldbank.org/indicator/SH.STA.MMRT	</v>
      <v xml:space="preserve">	</v>
    </spb>
    <spb s="0">
      <v xml:space="preserve">data.worldbank.org	</v>
      <v xml:space="preserve">	</v>
      <v xml:space="preserve">http://data.worldbank.org/indicator/EG.USE.ELEC.KH.PC	</v>
      <v xml:space="preserve">	</v>
    </spb>
    <spb s="0">
      <v xml:space="preserve">data.worldbank.org	</v>
      <v xml:space="preserve">	</v>
      <v xml:space="preserve">http://data.worldbank.org/indicator/MS.MIL.TOTL.P1	</v>
      <v xml:space="preserve">	</v>
    </spb>
    <spb s="0">
      <v xml:space="preserve">data.worldbank.org	</v>
      <v xml:space="preserve">	</v>
      <v xml:space="preserve">http://data.worldbank.org/indicator/EN.ATM.CO2E.KT	</v>
      <v xml:space="preserve">	</v>
    </spb>
    <spb s="0">
      <v xml:space="preserve">data.worldbank.org	</v>
      <v xml:space="preserve">	</v>
      <v xml:space="preserve">http://data.worldbank.org/indicator/SL.TLF.CACT.ZS	</v>
      <v xml:space="preserve">	</v>
    </spb>
    <spb s="1">
      <v>0</v>
      <v>1</v>
      <v>2</v>
      <v>2</v>
      <v>2</v>
      <v>2</v>
      <v>3</v>
      <v>2</v>
      <v>2</v>
      <v>2</v>
      <v>3</v>
      <v>4</v>
      <v>2</v>
      <v>5</v>
      <v>6</v>
      <v>2</v>
      <v>2</v>
      <v>7</v>
      <v>6</v>
      <v>8</v>
      <v>9</v>
      <v>10</v>
      <v>6</v>
      <v>6</v>
      <v>6</v>
      <v>1</v>
      <v>6</v>
      <v>2</v>
      <v>6</v>
      <v>11</v>
      <v>12</v>
      <v>13</v>
      <v>14</v>
      <v>6</v>
      <v>6</v>
      <v>6</v>
      <v>15</v>
      <v>6</v>
      <v>6</v>
      <v>6</v>
      <v>6</v>
      <v>6</v>
      <v>6</v>
      <v>6</v>
      <v>1</v>
    </spb>
    <spb s="2">
      <v>CPI</v>
      <v>GDP</v>
      <v>Area</v>
      <v>Image</v>
      <v>Name</v>
      <v>Population</v>
      <v>UniqueName</v>
      <v>VDPID/VSID</v>
      <v>Abbreviation</v>
      <v>Description</v>
      <v>National anthem</v>
      <v>Official name</v>
      <v>Minimum wage</v>
      <v>LearnMoreOnLink</v>
      <v>Physicians per thousand</v>
      <v>Currency code</v>
      <v>Urban population</v>
      <v>CPI Change (%)</v>
      <v>Largest city</v>
      <v>Calling code</v>
      <v>Life expectancy</v>
      <v>Unemployment rate</v>
      <v>Birth rate</v>
      <v>Fertility rate</v>
      <v>Forested area (%)</v>
      <v>Infant mortality</v>
      <v>Agricultural land (%)</v>
      <v>Tax revenue (%)</v>
      <v>Gasoline price</v>
      <v>Total tax rate</v>
      <v>Capital/Major City</v>
      <v>Out of pocket health expenditure (%)</v>
      <v>Maternal mortality ratio</v>
      <v>Electric power consumption</v>
      <v>Armed forces size</v>
      <v>Carbon dioxide emissions</v>
      <v>Fossil fuel energy consumption</v>
      <v>Gross primary education enrollment (%)</v>
      <v>Gross tertiary education enrollment (%)</v>
      <v>Population: Labor force participation (%)</v>
      <v>Population: Income share fourth 20%</v>
      <v>Population: Income share third 20%</v>
      <v>Population: Income share second 20%</v>
      <v>Population: Income share highest 10%</v>
      <v>Population: Income share lowest 10%</v>
      <v>Population: Income share highest 20%</v>
      <v>Population: Income share lowest 20%</v>
      <v>Market cap of listed companies</v>
    </spb>
    <spb s="3">
      <v>0</v>
      <v>Name</v>
      <v>LearnMoreOnLink</v>
    </spb>
    <spb s="4">
      <v>0</v>
      <v>0</v>
      <v>0</v>
    </spb>
    <spb s="5">
      <v>19</v>
      <v>19</v>
      <v>19</v>
    </spb>
    <spb s="6">
      <v>1</v>
      <v>2</v>
    </spb>
    <spb s="7">
      <v>https://www.bing.com</v>
      <v>https://www.bing.com/th?id=Ga%5Cbing_yt.png&amp;w=100&amp;h=40&amp;c=0&amp;pid=0.1</v>
      <v>Con tecnología de Bing</v>
    </spb>
    <spb s="8">
      <v>2019</v>
      <v>2019</v>
      <v>kilómetro cuadrado</v>
      <v>2022</v>
      <v>2018</v>
      <v>2019</v>
      <v>2019</v>
      <v>años (2018)</v>
      <v>2019</v>
      <v>por mil (2018)</v>
      <v>2018</v>
      <v>por mil (2018)</v>
      <v>2016</v>
      <v>2016</v>
      <v>2018</v>
      <v>por litro (2016)</v>
      <v>2019</v>
      <v>2015</v>
      <v>muertes por 100 000 (2017)</v>
      <v>kWh (2014)</v>
      <v>2017</v>
      <v>kilotones por año (2016)</v>
      <v>2014</v>
      <v>2017</v>
      <v>2017</v>
      <v>2019</v>
      <v>2018</v>
      <v>2018</v>
      <v>2018</v>
      <v>2018</v>
      <v>2018</v>
      <v>2018</v>
      <v>2018</v>
      <v>2019</v>
    </spb>
    <spb s="9">
      <v>3</v>
    </spb>
    <spb s="9">
      <v>4</v>
    </spb>
    <spb s="9">
      <v>5</v>
    </spb>
    <spb s="9">
      <v>6</v>
    </spb>
    <spb s="9">
      <v>7</v>
    </spb>
    <spb s="9">
      <v>8</v>
    </spb>
    <spb s="9">
      <v>9</v>
    </spb>
    <spb s="9">
      <v>10</v>
    </spb>
    <spb s="9">
      <v>11</v>
    </spb>
    <spb s="0">
      <v xml:space="preserve">Wikipedia	travel.state.gov	</v>
      <v xml:space="preserve">CC-BY-SA		</v>
      <v xml:space="preserve">http://en.wikipedia.org/wiki/China	https://travel.state.gov/content/travel/en/international-travel/International-Travel-Country-Information-Pages/China.html	</v>
      <v xml:space="preserve">http://creativecommons.org/licenses/by-sa/3.0/		</v>
    </spb>
    <spb s="0">
      <v xml:space="preserve">Wikipedia	</v>
      <v xml:space="preserve">CC BY-SA 3.0	</v>
      <v xml:space="preserve">https://es.wikipedia.org/wiki/Rep%C3%BAblica_Popular_China	</v>
      <v xml:space="preserve">https://creativecommons.org/licenses/by-sa/3.0	</v>
    </spb>
    <spb s="0">
      <v xml:space="preserve">Wikipedia	</v>
      <v xml:space="preserve">CC-BY-SA	</v>
      <v xml:space="preserve">http://en.wikipedia.org/wiki/China	</v>
      <v xml:space="preserve">http://creativecommons.org/licenses/by-sa/3.0/	</v>
    </spb>
    <spb s="0">
      <v xml:space="preserve">Cia	</v>
      <v xml:space="preserve">	</v>
      <v xml:space="preserve">https://www.cia.gov/library/publications/the-world-factbook/geos/ch.html?Transportation	</v>
      <v xml:space="preserve">	</v>
    </spb>
    <spb s="0">
      <v xml:space="preserve">Wikipedia	Cia	travel.state.gov	</v>
      <v xml:space="preserve">CC-BY-SA			</v>
      <v xml:space="preserve">http://en.wikipedia.org/wiki/China	https://www.cia.gov/library/publications/the-world-factbook/geos/ch.html?Transportation	https://travel.state.gov/content/travel/en/international-travel/International-Travel-Country-Information-Pages/China.html	</v>
      <v xml:space="preserve">http://creativecommons.org/licenses/by-sa/3.0/			</v>
    </spb>
    <spb s="10">
      <v>0</v>
      <v>33</v>
      <v>34</v>
      <v>34</v>
      <v>34</v>
      <v>34</v>
      <v>35</v>
      <v>34</v>
      <v>34</v>
      <v>34</v>
      <v>35</v>
      <v>4</v>
      <v>34</v>
      <v>5</v>
      <v>36</v>
      <v>34</v>
      <v>34</v>
      <v>36</v>
      <v>8</v>
      <v>9</v>
      <v>10</v>
      <v>36</v>
      <v>36</v>
      <v>36</v>
      <v>37</v>
      <v>36</v>
      <v>34</v>
      <v>36</v>
      <v>11</v>
      <v>12</v>
      <v>13</v>
      <v>14</v>
      <v>36</v>
      <v>36</v>
      <v>36</v>
      <v>15</v>
      <v>36</v>
      <v>36</v>
      <v>36</v>
      <v>36</v>
      <v>36</v>
      <v>36</v>
      <v>36</v>
      <v>37</v>
    </spb>
    <spb s="8">
      <v>2019</v>
      <v>2022</v>
      <v>kilómetro cuadrado</v>
      <v>2022</v>
      <v>2017</v>
      <v>2019</v>
      <v>2019</v>
      <v>años (2020)</v>
      <v>2019</v>
      <v>por mil (2018)</v>
      <v>2018</v>
      <v>por mil (2018)</v>
      <v>2016</v>
      <v>2016</v>
      <v>2017</v>
      <v>por litro (2016)</v>
      <v>2019</v>
      <v>2015</v>
      <v>muertes por 100 000 (2017)</v>
      <v>kWh (2014)</v>
      <v>2017</v>
      <v>kilotones por año (2016)</v>
      <v>2014</v>
      <v>2018</v>
      <v>2018</v>
      <v>2019</v>
      <v>2016</v>
      <v>2016</v>
      <v>2016</v>
      <v>2016</v>
      <v>2016</v>
      <v>2016</v>
      <v>2016</v>
      <v>2019</v>
    </spb>
    <spb s="0">
      <v xml:space="preserve">Wikipedia	Cia	travel.state.gov	</v>
      <v xml:space="preserve">CC-BY-SA			</v>
      <v xml:space="preserve">http://en.wikipedia.org/wiki/Argentina	https://www.cia.gov/library/publications/the-world-factbook/geos/ar.html?Transportation	https://travel.state.gov/content/travel/en/international-travel/International-Travel-Country-Information-Pages/Argentina.html	</v>
      <v xml:space="preserve">http://creativecommons.org/licenses/by-sa/3.0/			</v>
    </spb>
    <spb s="0">
      <v xml:space="preserve">Wikipedia	</v>
      <v xml:space="preserve">CC BY-SA 3.0	</v>
      <v xml:space="preserve">https://es.wikipedia.org/wiki/Argentina	</v>
      <v xml:space="preserve">https://creativecommons.org/licenses/by-sa/3.0	</v>
    </spb>
    <spb s="0">
      <v xml:space="preserve">Wikipedia	</v>
      <v xml:space="preserve">CC-BY-SA	</v>
      <v xml:space="preserve">http://en.wikipedia.org/wiki/Argentina	</v>
      <v xml:space="preserve">http://creativecommons.org/licenses/by-sa/3.0/	</v>
    </spb>
    <spb s="0">
      <v xml:space="preserve">Cia	</v>
      <v xml:space="preserve">	</v>
      <v xml:space="preserve">https://www.cia.gov/library/publications/the-world-factbook/geos/ar.html?Transportation	</v>
      <v xml:space="preserve">	</v>
    </spb>
    <spb s="1">
      <v>0</v>
      <v>40</v>
      <v>41</v>
      <v>41</v>
      <v>41</v>
      <v>41</v>
      <v>42</v>
      <v>41</v>
      <v>41</v>
      <v>41</v>
      <v>42</v>
      <v>4</v>
      <v>41</v>
      <v>5</v>
      <v>43</v>
      <v>41</v>
      <v>41</v>
      <v>7</v>
      <v>43</v>
      <v>8</v>
      <v>9</v>
      <v>10</v>
      <v>43</v>
      <v>43</v>
      <v>43</v>
      <v>40</v>
      <v>43</v>
      <v>41</v>
      <v>43</v>
      <v>11</v>
      <v>12</v>
      <v>13</v>
      <v>14</v>
      <v>43</v>
      <v>43</v>
      <v>43</v>
      <v>15</v>
      <v>43</v>
      <v>43</v>
      <v>43</v>
      <v>43</v>
      <v>43</v>
      <v>43</v>
      <v>43</v>
      <v>40</v>
    </spb>
    <spb s="8">
      <v>2019</v>
      <v>2019</v>
      <v>kilómetro cuadrado</v>
      <v>2022</v>
      <v>2017</v>
      <v>2019</v>
      <v>2019</v>
      <v>años (2018)</v>
      <v>2019</v>
      <v>por mil (2018)</v>
      <v>2018</v>
      <v>por mil (2018)</v>
      <v>2016</v>
      <v>2016</v>
      <v>2018</v>
      <v>por litro (2016)</v>
      <v>2019</v>
      <v>2015</v>
      <v>muertes por 100 000 (2017)</v>
      <v>kWh (2014)</v>
      <v>2017</v>
      <v>kilotones por año (2016)</v>
      <v>2014</v>
      <v>2017</v>
      <v>2017</v>
      <v>2019</v>
      <v>2018</v>
      <v>2018</v>
      <v>2018</v>
      <v>2018</v>
      <v>2018</v>
      <v>2018</v>
      <v>2018</v>
      <v>2019</v>
    </spb>
  </spbData>
</supportingPropertyBags>
</file>

<file path=xl/richData/rdsupportingpropertybagstructure.xml><?xml version="1.0" encoding="utf-8"?>
<spbStructures xmlns="http://schemas.microsoft.com/office/spreadsheetml/2017/richdata2" count="11">
  <s>
    <k n="SourceText" t="s"/>
    <k n="LicenseText" t="s"/>
    <k n="SourceAddress" t="s"/>
    <k n="LicenseAddress" t="s"/>
  </s>
  <s>
    <k n="IPC" t="spb"/>
    <k n="PIB" t="spb"/>
    <k n="`Área" t="spb"/>
    <k n="Nombre" t="spb"/>
    <k n="Población" t="spb"/>
    <k n="UniqueName" t="spb"/>
    <k n="Abreviatura" t="spb"/>
    <k n="Descripción" t="spb"/>
    <k n="Himno nacional" t="spb"/>
    <k n="Nombre oficial" t="spb"/>
    <k n="Salario mínimo" t="spb"/>
    <k n="Médicos por mil" t="spb"/>
    <k n="Código de moneda" t="spb"/>
    <k n="Población urbana" t="spb"/>
    <k n="Cambio de IPC (%)" t="spb"/>
    <k n="Ciudad más grande" t="spb"/>
    <k n="Código de llamada" t="spb"/>
    <k n="Esperanza de vida" t="spb"/>
    <k n="Tasa de desempleo" t="spb"/>
    <k n="Tasa de natalidad" t="spb"/>
    <k n="Tasa de fertilidad" t="spb"/>
    <k n="Mortalidad infantil" t="spb"/>
    <k n="Tierra agrícola (%)" t="spb"/>
    <k n="`Área de bosque (%)" t="spb"/>
    <k n="Ingresos fiscales (%)" t="spb"/>
    <k n="Precio de la gasolina" t="spb"/>
    <k n="Tasa de impuesto total" t="spb"/>
    <k n="Capital/ciudad principal" t="spb"/>
    <k n="Gastos de salud varios (%)" t="spb"/>
    <k n="Ratio de mortalidad materna" t="spb"/>
    <k n="Consumo de energía eléctrica" t="spb"/>
    <k n="Tamaño de las fuerzas armadas" t="spb"/>
    <k n="Emisiones de dióxido de carbono" t="spb"/>
    <k n="Consumo de energía de combustibles fósiles" t="spb"/>
    <k n="Matriculación en educación primaria en bruto (%)" t="spb"/>
    <k n="Matriculación en educación terciaria en bruto (%)" t="spb"/>
    <k n="Población: participación en la fuerza laboral (%)" t="spb"/>
    <k n="Población: cuarto 20% de participación de ingresos" t="spb"/>
    <k n="Población: tercer 20% de participación de ingresos" t="spb"/>
    <k n="Población: segundo 20% de participación de ingresos" t="spb"/>
    <k n="Población: 10% más alto de participación de ingresos" t="spb"/>
    <k n="Población: 10% más bajo de participación de ingresos" t="spb"/>
    <k n="Población: 20% más alto de participación de ingresos" t="spb"/>
    <k n="Población: 20% más bajo de participación de ingresos" t="spb"/>
    <k n="Capitalización de mercado de las sociedades cotizadas" t="spb"/>
  </s>
  <s>
    <k n="IPC" t="s"/>
    <k n="PIB" t="s"/>
    <k n="Área" t="s"/>
    <k n="Imagen" t="s"/>
    <k n="Nombre" t="s"/>
    <k n="Población" t="s"/>
    <k n="UniqueName" t="s"/>
    <k n="VDPID/VSID" t="s"/>
    <k n="Abreviatura" t="s"/>
    <k n="Descripción" t="s"/>
    <k n="Himno nacional" t="s"/>
    <k n="Nombre oficial" t="s"/>
    <k n="Salario mínimo" t="s"/>
    <k n="LearnMoreOnLink" t="s"/>
    <k n="Médicos por mil" t="s"/>
    <k n="Código de moneda" t="s"/>
    <k n="Población urbana" t="s"/>
    <k n="Cambio de IPC (%)" t="s"/>
    <k n="Ciudad más grande" t="s"/>
    <k n="Código de llamada" t="s"/>
    <k n="Esperanza de vida" t="s"/>
    <k n="Tasa de desempleo" t="s"/>
    <k n="Tasa de natalidad" t="s"/>
    <k n="Tasa de fertilidad" t="s"/>
    <k n="Área de bosque (%)" t="s"/>
    <k n="Mortalidad infantil" t="s"/>
    <k n="Tierra agrícola (%)" t="s"/>
    <k n="Ingresos fiscales (%)" t="s"/>
    <k n="Precio de la gasolina" t="s"/>
    <k n="Tasa de impuesto total" t="s"/>
    <k n="Capital/ciudad principal" t="s"/>
    <k n="Gastos de salud varios (%)" t="s"/>
    <k n="Ratio de mortalidad materna" t="s"/>
    <k n="Consumo de energía eléctrica" t="s"/>
    <k n="Tamaño de las fuerzas armadas" t="s"/>
    <k n="Emisiones de dióxido de carbono" t="s"/>
    <k n="Consumo de energía de combustibles fósiles" t="s"/>
    <k n="Matriculación en educación primaria en bruto (%)" t="s"/>
    <k n="Matriculación en educación terciaria en bruto (%)" t="s"/>
    <k n="Población: participación en la fuerza laboral (%)" t="s"/>
    <k n="Población: cuarto 20% de participación de ingresos" t="s"/>
    <k n="Población: tercer 20% de participación de ingresos" t="s"/>
    <k n="Población: segundo 20% de participación de ingresos" t="s"/>
    <k n="Población: 10% más alto de participación de ingresos" t="s"/>
    <k n="Población: 10% más bajo de participación de ingresos" t="s"/>
    <k n="Población: 20% más alto de participación de ingresos" t="s"/>
    <k n="Población: 20% más bajo de participación de ingresos" t="s"/>
    <k n="Capitalización de mercado de las sociedades cotizadas" t="s"/>
  </s>
  <s>
    <k n="^Order" t="spba"/>
    <k n="TitleProperty" t="s"/>
    <k n="SubTitleProperty" t="s"/>
  </s>
  <s>
    <k n="ShowInCardView" t="b"/>
    <k n="ShowInDotNotation" t="b"/>
    <k n="ShowInAutoComplete" t="b"/>
  </s>
  <s>
    <k n="UniqueName" t="spb"/>
    <k n="VDPID/VSID" t="spb"/>
    <k n="LearnMoreOnLink" t="spb"/>
  </s>
  <s>
    <k n="Imagen" t="i"/>
    <k n="Nombre" t="i"/>
  </s>
  <s>
    <k n="link" t="s"/>
    <k n="logo" t="s"/>
    <k n="name" t="s"/>
  </s>
  <s>
    <k n="IPC" t="s"/>
    <k n="PIB" t="s"/>
    <k n="`Área" t="s"/>
    <k n="Población" t="s"/>
    <k n="Médicos por mil" t="s"/>
    <k n="Población urbana" t="s"/>
    <k n="Cambio de IPC (%)" t="s"/>
    <k n="Esperanza de vida" t="s"/>
    <k n="Tasa de desempleo" t="s"/>
    <k n="Tasa de natalidad" t="s"/>
    <k n="Tasa de fertilidad" t="s"/>
    <k n="Mortalidad infantil" t="s"/>
    <k n="Tierra agrícola (%)" t="s"/>
    <k n="`Área de bosque (%)" t="s"/>
    <k n="Ingresos fiscales (%)" t="s"/>
    <k n="Precio de la gasolina" t="s"/>
    <k n="Tasa de impuesto total" t="s"/>
    <k n="Gastos de salud varios (%)" t="s"/>
    <k n="Ratio de mortalidad materna" t="s"/>
    <k n="Consumo de energía eléctrica" t="s"/>
    <k n="Tamaño de las fuerzas armadas" t="s"/>
    <k n="Emisiones de dióxido de carbono" t="s"/>
    <k n="Consumo de energía de combustibles fósiles" t="s"/>
    <k n="Matriculación en educación primaria en bruto (%)" t="s"/>
    <k n="Matriculación en educación terciaria en bruto (%)" t="s"/>
    <k n="Población: participación en la fuerza laboral (%)" t="s"/>
    <k n="Población: cuarto 20% de participación de ingresos" t="s"/>
    <k n="Población: tercer 20% de participación de ingresos" t="s"/>
    <k n="Población: segundo 20% de participación de ingresos" t="s"/>
    <k n="Población: 10% más alto de participación de ingresos" t="s"/>
    <k n="Población: 10% más bajo de participación de ingresos" t="s"/>
    <k n="Población: 20% más alto de participación de ingresos" t="s"/>
    <k n="Población: 20% más bajo de participación de ingresos" t="s"/>
    <k n="Capitalización de mercado de las sociedades cotizadas" t="s"/>
  </s>
  <s>
    <k n="_Self" t="i"/>
  </s>
  <s>
    <k n="IPC" t="spb"/>
    <k n="PIB" t="spb"/>
    <k n="`Área" t="spb"/>
    <k n="Nombre" t="spb"/>
    <k n="Población" t="spb"/>
    <k n="UniqueName" t="spb"/>
    <k n="Abreviatura" t="spb"/>
    <k n="Descripción" t="spb"/>
    <k n="Himno nacional" t="spb"/>
    <k n="Nombre oficial" t="spb"/>
    <k n="Salario mínimo" t="spb"/>
    <k n="Médicos por mil" t="spb"/>
    <k n="Código de moneda" t="spb"/>
    <k n="Población urbana" t="spb"/>
    <k n="Cambio de IPC (%)" t="spb"/>
    <k n="Ciudad más grande" t="spb"/>
    <k n="Código de llamada" t="spb"/>
    <k n="Tasa de desempleo" t="spb"/>
    <k n="Tasa de natalidad" t="spb"/>
    <k n="Tasa de fertilidad" t="spb"/>
    <k n="Mortalidad infantil" t="spb"/>
    <k n="Tierra agrícola (%)" t="spb"/>
    <k n="`Área de bosque (%)" t="spb"/>
    <k n="Ingresos fiscales (%)" t="spb"/>
    <k n="Precio de la gasolina" t="spb"/>
    <k n="Tasa de impuesto total" t="spb"/>
    <k n="Capital/ciudad principal" t="spb"/>
    <k n="Gastos de salud varios (%)" t="spb"/>
    <k n="Ratio de mortalidad materna" t="spb"/>
    <k n="Consumo de energía eléctrica" t="spb"/>
    <k n="Tamaño de las fuerzas armadas" t="spb"/>
    <k n="Emisiones de dióxido de carbono" t="spb"/>
    <k n="Consumo de energía de combustibles fósiles" t="spb"/>
    <k n="Matriculación en educación primaria en bruto (%)" t="spb"/>
    <k n="Matriculación en educación terciaria en bruto (%)" t="spb"/>
    <k n="Población: participación en la fuerza laboral (%)" t="spb"/>
    <k n="Población: cuarto 20% de participación de ingresos" t="spb"/>
    <k n="Población: tercer 20% de participación de ingresos" t="spb"/>
    <k n="Población: segundo 20% de participación de ingresos" t="spb"/>
    <k n="Población: 10% más alto de participación de ingresos" t="spb"/>
    <k n="Población: 10% más bajo de participación de ingresos" t="spb"/>
    <k n="Población: 20% más alto de participación de ingresos" t="spb"/>
    <k n="Población: 20% más bajo de participación de ingresos" t="spb"/>
    <k n="Capitalización de mercado de las sociedades cotizadas" t="spb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6">
    <x:dxf>
      <x:numFmt numFmtId="2" formatCode="0.00"/>
    </x:dxf>
    <x:dxf>
      <x:numFmt numFmtId="0" formatCode="General"/>
    </x:dxf>
    <x:dxf>
      <x:numFmt numFmtId="14" formatCode="0.00%"/>
    </x:dxf>
    <x:dxf>
      <x:numFmt numFmtId="3" formatCode="#,##0"/>
    </x:dxf>
    <x:dxf>
      <x:numFmt numFmtId="4" formatCode="#,##0.00"/>
    </x:dxf>
    <x:dxf>
      <x:numFmt numFmtId="1" formatCode="0"/>
    </x:dxf>
  </dxfs>
  <richProperties>
    <rPr n="IsHeroField" t="b"/>
    <rPr n="IsTitleField" t="b"/>
    <rPr n="NumberFormat" t="s"/>
  </richProperties>
  <richStyles>
    <rSty>
      <rpv i="0">1</rpv>
    </rSty>
    <rSty>
      <rpv i="1">1</rpv>
    </rSty>
    <rSty dxfid="3">
      <rpv i="2">#,##0</rpv>
    </rSty>
    <rSty dxfid="2">
      <rpv i="2">0.0%</rpv>
    </rSty>
    <rSty dxfid="1">
      <rpv i="2">_([$$-en-US]* #,##0_);_([$$-en-US]* (#,##0);_([$$-en-US]* "-"_);_(@_)</rpv>
    </rSty>
    <rSty dxfid="5">
      <rpv i="2">0</rpv>
    </rSty>
    <rSty dxfid="1">
      <rpv i="2">0.0</rpv>
    </rSty>
    <rSty dxfid="4">
      <rpv i="2">#,##0.00</rpv>
    </rSty>
    <rSty dxfid="0">
      <rpv i="2">0.00</rpv>
    </rSty>
    <rSty dxfid="1">
      <rpv i="2">_([$$-en-US]* #,##0.00_);_([$$-en-US]* (#,##0.00);_([$$-en-US]* "-"??_);_(@_)</rpv>
    </rSty>
    <rSty dxfid="2"/>
  </richStyles>
</richStyleSheet>
</file>

<file path=xl/theme/theme1.xml><?xml version="1.0" encoding="utf-8"?>
<a:theme xmlns:a="http://schemas.openxmlformats.org/drawingml/2006/main" name="Tema de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  <wetp:taskpane dockstate="right" visibility="0" width="350" row="1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8760A2C-7E90-4EA0-8FFF-FF7EFF7399A1}">
  <we:reference id="wa104380711" version="1.0.0.2" store="es-ES" storeType="OMEX"/>
  <we:alternateReferences>
    <we:reference id="WA104380711" version="1.0.0.2" store="WA104380711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6638C92-426E-4125-9B6F-FD5C7900590F}">
  <we:reference id="wa104381504" version="1.0.0.0" store="es-ES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a.link/hj8jj7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F9AA1-BB71-47EB-822F-63E95F234720}">
  <sheetPr codeName="Hoja12">
    <tabColor theme="4" tint="0.79998168889431442"/>
  </sheetPr>
  <dimension ref="A1:Q26"/>
  <sheetViews>
    <sheetView showGridLines="0" topLeftCell="A14" zoomScale="115" zoomScaleNormal="115" workbookViewId="0">
      <selection activeCell="C20" sqref="C20"/>
    </sheetView>
  </sheetViews>
  <sheetFormatPr baseColWidth="10" defaultColWidth="0" defaultRowHeight="15" customHeight="1" zeroHeight="1" x14ac:dyDescent="0.35"/>
  <cols>
    <col min="1" max="1" width="5.1796875" customWidth="1"/>
    <col min="2" max="2" width="2.453125" customWidth="1"/>
    <col min="3" max="3" width="28.81640625" bestFit="1" customWidth="1"/>
    <col min="4" max="4" width="24.81640625" style="11" bestFit="1" customWidth="1"/>
    <col min="5" max="5" width="50.26953125" bestFit="1" customWidth="1"/>
    <col min="6" max="6" width="1" customWidth="1"/>
    <col min="7" max="7" width="2" customWidth="1"/>
    <col min="8" max="17" width="9.54296875" customWidth="1"/>
    <col min="18" max="16384" width="9.54296875" hidden="1"/>
  </cols>
  <sheetData>
    <row r="1" spans="2:11" ht="15" customHeight="1" x14ac:dyDescent="0.35"/>
    <row r="2" spans="2:11" ht="15" customHeight="1" x14ac:dyDescent="0.35"/>
    <row r="3" spans="2:11" ht="15" customHeight="1" x14ac:dyDescent="0.35"/>
    <row r="4" spans="2:11" ht="15" customHeight="1" x14ac:dyDescent="0.35"/>
    <row r="5" spans="2:11" ht="15" customHeight="1" x14ac:dyDescent="0.35"/>
    <row r="6" spans="2:11" ht="15" customHeight="1" x14ac:dyDescent="0.35"/>
    <row r="7" spans="2:11" ht="15" customHeight="1" x14ac:dyDescent="0.35"/>
    <row r="8" spans="2:11" ht="15" customHeight="1" x14ac:dyDescent="0.35"/>
    <row r="9" spans="2:11" ht="14.5" x14ac:dyDescent="0.35">
      <c r="B9" s="64"/>
      <c r="C9" s="64"/>
      <c r="D9" s="64"/>
      <c r="E9" s="64"/>
      <c r="F9" s="64"/>
      <c r="G9" s="64"/>
    </row>
    <row r="10" spans="2:11" ht="14.5" x14ac:dyDescent="0.35">
      <c r="B10" s="64"/>
      <c r="C10" s="64"/>
      <c r="D10" s="64"/>
      <c r="E10" s="64"/>
      <c r="F10" s="64"/>
      <c r="G10" s="64"/>
    </row>
    <row r="11" spans="2:11" ht="14.5" x14ac:dyDescent="0.35">
      <c r="B11" s="64"/>
      <c r="C11" s="64"/>
      <c r="D11" s="64"/>
      <c r="E11" s="64"/>
      <c r="F11" s="64"/>
      <c r="G11" s="64"/>
    </row>
    <row r="12" spans="2:11" ht="14.5" x14ac:dyDescent="0.35">
      <c r="B12" s="64"/>
      <c r="C12" s="2"/>
      <c r="D12" s="3"/>
      <c r="E12" s="2"/>
      <c r="F12" s="2"/>
      <c r="G12" s="64"/>
    </row>
    <row r="13" spans="2:11" ht="18.5" x14ac:dyDescent="0.45">
      <c r="B13" s="64"/>
      <c r="C13" s="13" t="s">
        <v>36</v>
      </c>
      <c r="D13" s="5" t="s">
        <v>33</v>
      </c>
      <c r="E13" s="4" t="s">
        <v>34</v>
      </c>
      <c r="F13" s="4"/>
      <c r="G13" s="64"/>
    </row>
    <row r="14" spans="2:11" s="8" customFormat="1" ht="58" x14ac:dyDescent="0.35">
      <c r="B14" s="64"/>
      <c r="C14" s="41" t="s">
        <v>76</v>
      </c>
      <c r="D14" s="6" t="s">
        <v>77</v>
      </c>
      <c r="E14" s="7" t="s">
        <v>418</v>
      </c>
      <c r="F14" s="7"/>
      <c r="G14" s="64"/>
      <c r="H14"/>
      <c r="I14"/>
      <c r="J14"/>
      <c r="K14"/>
    </row>
    <row r="15" spans="2:11" s="8" customFormat="1" ht="29" x14ac:dyDescent="0.35">
      <c r="B15" s="64"/>
      <c r="C15" s="42" t="s">
        <v>760</v>
      </c>
      <c r="D15" s="9" t="s">
        <v>761</v>
      </c>
      <c r="E15" s="10" t="s">
        <v>762</v>
      </c>
      <c r="F15" s="10"/>
      <c r="G15" s="64"/>
      <c r="H15"/>
      <c r="I15"/>
      <c r="J15"/>
      <c r="K15"/>
    </row>
    <row r="16" spans="2:11" s="8" customFormat="1" ht="31" x14ac:dyDescent="0.35">
      <c r="B16" s="64"/>
      <c r="C16" s="42" t="s">
        <v>32</v>
      </c>
      <c r="D16" s="9" t="s">
        <v>763</v>
      </c>
      <c r="E16" s="10" t="s">
        <v>764</v>
      </c>
      <c r="F16" s="10"/>
      <c r="G16" s="64"/>
      <c r="H16"/>
      <c r="I16"/>
      <c r="J16"/>
      <c r="K16"/>
    </row>
    <row r="17" spans="2:11" s="8" customFormat="1" ht="31" x14ac:dyDescent="0.35">
      <c r="B17" s="64"/>
      <c r="C17" s="42" t="s">
        <v>765</v>
      </c>
      <c r="D17" s="9" t="s">
        <v>763</v>
      </c>
      <c r="E17" s="10" t="s">
        <v>766</v>
      </c>
      <c r="F17" s="10"/>
      <c r="G17" s="64"/>
      <c r="H17"/>
      <c r="I17"/>
      <c r="J17"/>
      <c r="K17"/>
    </row>
    <row r="18" spans="2:11" s="8" customFormat="1" ht="31" x14ac:dyDescent="0.35">
      <c r="B18" s="64"/>
      <c r="C18" s="42" t="s">
        <v>807</v>
      </c>
      <c r="D18" s="9" t="s">
        <v>763</v>
      </c>
      <c r="E18" s="10" t="s">
        <v>808</v>
      </c>
      <c r="F18" s="10"/>
      <c r="G18" s="64"/>
      <c r="H18"/>
      <c r="I18"/>
      <c r="J18"/>
      <c r="K18"/>
    </row>
    <row r="19" spans="2:11" s="8" customFormat="1" ht="29" x14ac:dyDescent="0.35">
      <c r="B19" s="64"/>
      <c r="C19" s="42" t="s">
        <v>38</v>
      </c>
      <c r="D19" s="72" t="s">
        <v>57</v>
      </c>
      <c r="E19" s="68" t="s">
        <v>39</v>
      </c>
      <c r="G19" s="64"/>
      <c r="H19"/>
      <c r="I19"/>
      <c r="J19"/>
      <c r="K19"/>
    </row>
    <row r="20" spans="2:11" s="8" customFormat="1" ht="15.5" x14ac:dyDescent="0.35">
      <c r="B20" s="64"/>
      <c r="C20" s="43" t="s">
        <v>44</v>
      </c>
      <c r="D20" s="14" t="s">
        <v>45</v>
      </c>
      <c r="E20" s="15" t="s">
        <v>56</v>
      </c>
      <c r="F20" s="73"/>
      <c r="G20" s="64"/>
      <c r="H20"/>
      <c r="I20"/>
      <c r="J20"/>
      <c r="K20"/>
    </row>
    <row r="21" spans="2:11" ht="14.5" x14ac:dyDescent="0.35">
      <c r="B21" s="64"/>
      <c r="C21" s="64"/>
      <c r="D21" s="64"/>
      <c r="E21" s="64"/>
      <c r="F21" s="64"/>
      <c r="G21" s="65"/>
    </row>
    <row r="22" spans="2:11" ht="2.25" customHeight="1" x14ac:dyDescent="0.35">
      <c r="B22" s="64"/>
      <c r="C22" s="64"/>
      <c r="D22" s="64"/>
      <c r="E22" s="64"/>
      <c r="F22" s="64"/>
      <c r="G22" s="65"/>
    </row>
    <row r="23" spans="2:11" ht="15" customHeight="1" x14ac:dyDescent="0.35">
      <c r="D23"/>
    </row>
    <row r="24" spans="2:11" ht="15" customHeight="1" x14ac:dyDescent="0.35">
      <c r="D24"/>
    </row>
    <row r="25" spans="2:11" ht="15" customHeight="1" x14ac:dyDescent="0.35">
      <c r="D25"/>
    </row>
    <row r="26" spans="2:11" ht="15" customHeight="1" x14ac:dyDescent="0.35"/>
  </sheetData>
  <hyperlinks>
    <hyperlink ref="C16" location="BUSCARV!A1" display="BUSCARV" xr:uid="{3C98D95B-FA87-41FB-8BBD-16D63BFEB511}"/>
    <hyperlink ref="C20" location="'Tu Insignia'!A1" display="Solicita tu insignia de hoy" xr:uid="{4CDC99EA-F94F-4B03-898E-96F87287E83A}"/>
    <hyperlink ref="C14" location="CSV!A1" display="Archivo CSV" xr:uid="{22AA0A80-0AAA-428F-B864-3F8F93DE4AC7}"/>
    <hyperlink ref="C15" location="'SUMAR AVANZADO'!A1" display="SUMA AVANZADA" xr:uid="{ECF83615-86F6-492A-9287-1E1A0D2F9127}"/>
    <hyperlink ref="C17" location="'BUSCARV 2'!A1" display="BUSCARV 2" xr:uid="{A1777253-EE08-495F-B09A-2982EE50981E}"/>
    <hyperlink ref="C19" location="'FUNCION SI'!A1" display="Condicionales" xr:uid="{E0899FCB-5D71-4B56-9E1A-5B4E559F7684}"/>
    <hyperlink ref="C18" location="'BUSCARV Aproximado'!A1" display="BUSCARV APROXIMADO" xr:uid="{6064EECA-B28B-4C3F-8996-D5D8F949C85C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B5AA8-2E0A-443E-A9A7-651EF2163869}">
  <sheetPr codeName="Hoja9">
    <pageSetUpPr fitToPage="1"/>
  </sheetPr>
  <dimension ref="A1:H28"/>
  <sheetViews>
    <sheetView showGridLines="0" topLeftCell="A5" zoomScale="115" zoomScaleNormal="115" workbookViewId="0">
      <selection activeCell="C7" sqref="C7"/>
    </sheetView>
  </sheetViews>
  <sheetFormatPr baseColWidth="10" defaultColWidth="9" defaultRowHeight="14" x14ac:dyDescent="0.3"/>
  <cols>
    <col min="1" max="1" width="5.81640625" style="26" bestFit="1" customWidth="1"/>
    <col min="2" max="2" width="1.81640625" style="26" customWidth="1"/>
    <col min="3" max="3" width="34.7265625" style="26" bestFit="1" customWidth="1"/>
    <col min="4" max="4" width="33.54296875" style="26" customWidth="1"/>
    <col min="5" max="5" width="35" style="26" customWidth="1"/>
    <col min="6" max="6" width="15.26953125" style="26" bestFit="1" customWidth="1"/>
    <col min="7" max="7" width="21.81640625" style="26" bestFit="1" customWidth="1"/>
    <col min="8" max="8" width="29.7265625" style="26" bestFit="1" customWidth="1"/>
    <col min="9" max="9" width="23.1796875" style="26" bestFit="1" customWidth="1"/>
    <col min="10" max="16384" width="9" style="26"/>
  </cols>
  <sheetData>
    <row r="1" spans="1:8" ht="14.5" x14ac:dyDescent="0.35">
      <c r="A1" s="12" t="s">
        <v>35</v>
      </c>
    </row>
    <row r="2" spans="1:8" ht="18" x14ac:dyDescent="0.4">
      <c r="B2" s="37"/>
      <c r="C2" s="36" t="s">
        <v>69</v>
      </c>
      <c r="D2" s="23" t="s">
        <v>70</v>
      </c>
      <c r="E2" s="23"/>
    </row>
    <row r="3" spans="1:8" ht="25.5" customHeight="1" x14ac:dyDescent="0.3">
      <c r="B3" s="38"/>
      <c r="C3" s="34" t="s">
        <v>71</v>
      </c>
      <c r="D3" s="27" t="s">
        <v>72</v>
      </c>
    </row>
    <row r="4" spans="1:8" ht="25.5" customHeight="1" x14ac:dyDescent="0.3">
      <c r="B4" s="39"/>
      <c r="C4" s="35" t="s">
        <v>73</v>
      </c>
      <c r="D4" s="28" t="s">
        <v>74</v>
      </c>
      <c r="E4" s="29"/>
    </row>
    <row r="5" spans="1:8" ht="25.5" customHeight="1" x14ac:dyDescent="0.3">
      <c r="B5" s="39"/>
      <c r="C5" s="34" t="s">
        <v>771</v>
      </c>
      <c r="D5" s="27" t="s">
        <v>772</v>
      </c>
    </row>
    <row r="6" spans="1:8" ht="25.5" customHeight="1" x14ac:dyDescent="0.3">
      <c r="B6" s="39"/>
      <c r="C6" s="35" t="s">
        <v>773</v>
      </c>
      <c r="D6" s="28" t="s">
        <v>774</v>
      </c>
      <c r="E6" s="29"/>
    </row>
    <row r="7" spans="1:8" ht="25.5" customHeight="1" x14ac:dyDescent="0.3">
      <c r="B7" s="39"/>
      <c r="C7" s="34" t="s">
        <v>417</v>
      </c>
      <c r="D7" s="27" t="s">
        <v>75</v>
      </c>
    </row>
    <row r="8" spans="1:8" ht="25.5" customHeight="1" x14ac:dyDescent="0.3"/>
    <row r="9" spans="1:8" x14ac:dyDescent="0.3">
      <c r="C9" s="79" t="s">
        <v>780</v>
      </c>
      <c r="D9" s="79"/>
      <c r="E9" s="79"/>
      <c r="F9" s="79"/>
      <c r="G9" s="79"/>
      <c r="H9" s="79"/>
    </row>
    <row r="10" spans="1:8" x14ac:dyDescent="0.3">
      <c r="C10" s="40" t="s">
        <v>9</v>
      </c>
      <c r="D10" s="40" t="s">
        <v>0</v>
      </c>
      <c r="E10" s="40" t="s">
        <v>10</v>
      </c>
      <c r="F10" s="40" t="s">
        <v>11</v>
      </c>
      <c r="G10" s="40" t="s">
        <v>1</v>
      </c>
      <c r="H10" s="40" t="s">
        <v>416</v>
      </c>
    </row>
    <row r="11" spans="1:8" x14ac:dyDescent="0.3">
      <c r="C11" s="30">
        <v>10001</v>
      </c>
      <c r="D11" s="31" t="s">
        <v>5</v>
      </c>
      <c r="E11" s="31" t="s">
        <v>12</v>
      </c>
      <c r="F11" s="32">
        <v>42370</v>
      </c>
      <c r="G11" s="33" t="s">
        <v>13</v>
      </c>
      <c r="H11" s="33" t="str">
        <f>_xlfn.CONCAT(C11,"-",G11)</f>
        <v>10001-Red Pepper Jelly</v>
      </c>
    </row>
    <row r="12" spans="1:8" x14ac:dyDescent="0.3">
      <c r="C12" s="30">
        <v>10002</v>
      </c>
      <c r="D12" s="31" t="s">
        <v>4</v>
      </c>
      <c r="E12" s="31" t="s">
        <v>14</v>
      </c>
      <c r="F12" s="32">
        <v>42370</v>
      </c>
      <c r="G12" s="33" t="s">
        <v>15</v>
      </c>
      <c r="H12" s="33" t="str">
        <f t="shared" ref="H12:H28" si="0">_xlfn.CONCAT(C12,"-",G12)</f>
        <v>10002-Filo Mix</v>
      </c>
    </row>
    <row r="13" spans="1:8" x14ac:dyDescent="0.3">
      <c r="C13" s="30">
        <v>10003</v>
      </c>
      <c r="D13" s="31" t="s">
        <v>2</v>
      </c>
      <c r="E13" s="31" t="s">
        <v>16</v>
      </c>
      <c r="F13" s="32">
        <v>42371</v>
      </c>
      <c r="G13" s="33" t="s">
        <v>37</v>
      </c>
      <c r="H13" s="33" t="str">
        <f t="shared" si="0"/>
        <v>10003-choco Biscuits</v>
      </c>
    </row>
    <row r="14" spans="1:8" x14ac:dyDescent="0.3">
      <c r="C14" s="30">
        <v>10003</v>
      </c>
      <c r="D14" s="31" t="s">
        <v>2</v>
      </c>
      <c r="E14" s="31" t="s">
        <v>16</v>
      </c>
      <c r="F14" s="32">
        <v>42371</v>
      </c>
      <c r="G14" s="33" t="s">
        <v>17</v>
      </c>
      <c r="H14" s="33" t="str">
        <f t="shared" si="0"/>
        <v>10003-Alaska King Crab</v>
      </c>
    </row>
    <row r="15" spans="1:8" x14ac:dyDescent="0.3">
      <c r="C15" s="30">
        <v>10004</v>
      </c>
      <c r="D15" s="31" t="s">
        <v>5</v>
      </c>
      <c r="E15" s="31" t="s">
        <v>18</v>
      </c>
      <c r="F15" s="32">
        <v>42371</v>
      </c>
      <c r="G15" s="33" t="s">
        <v>19</v>
      </c>
      <c r="H15" s="33" t="str">
        <f t="shared" si="0"/>
        <v>10004-Pearbutter Jam</v>
      </c>
    </row>
    <row r="16" spans="1:8" x14ac:dyDescent="0.3">
      <c r="C16" s="30">
        <v>10004</v>
      </c>
      <c r="D16" s="31" t="s">
        <v>6</v>
      </c>
      <c r="E16" s="31" t="s">
        <v>18</v>
      </c>
      <c r="F16" s="32">
        <v>42371</v>
      </c>
      <c r="G16" s="33" t="s">
        <v>20</v>
      </c>
      <c r="H16" s="33" t="str">
        <f t="shared" si="0"/>
        <v>10004-Orange Honey</v>
      </c>
    </row>
    <row r="17" spans="3:8" x14ac:dyDescent="0.3">
      <c r="C17" s="30">
        <v>10005</v>
      </c>
      <c r="D17" s="31" t="s">
        <v>3</v>
      </c>
      <c r="E17" s="31" t="s">
        <v>21</v>
      </c>
      <c r="F17" s="32">
        <v>42374</v>
      </c>
      <c r="G17" s="33" t="s">
        <v>7</v>
      </c>
      <c r="H17" s="33" t="str">
        <f t="shared" si="0"/>
        <v>10005-Chocolade</v>
      </c>
    </row>
    <row r="18" spans="3:8" x14ac:dyDescent="0.3">
      <c r="C18" s="30">
        <v>10005</v>
      </c>
      <c r="D18" s="31" t="s">
        <v>5</v>
      </c>
      <c r="E18" s="31" t="s">
        <v>21</v>
      </c>
      <c r="F18" s="32">
        <v>42374</v>
      </c>
      <c r="G18" s="33" t="s">
        <v>22</v>
      </c>
      <c r="H18" s="33" t="str">
        <f t="shared" si="0"/>
        <v>10005-Huckleberry Syrup</v>
      </c>
    </row>
    <row r="19" spans="3:8" x14ac:dyDescent="0.3">
      <c r="C19" s="30">
        <v>10006</v>
      </c>
      <c r="D19" s="31" t="s">
        <v>2</v>
      </c>
      <c r="E19" s="31" t="s">
        <v>12</v>
      </c>
      <c r="F19" s="32">
        <v>42375</v>
      </c>
      <c r="G19" s="33" t="s">
        <v>23</v>
      </c>
      <c r="H19" s="33" t="str">
        <f t="shared" si="0"/>
        <v>10006-Applebutter Jam</v>
      </c>
    </row>
    <row r="20" spans="3:8" x14ac:dyDescent="0.3">
      <c r="C20" s="30">
        <v>10007</v>
      </c>
      <c r="D20" s="31" t="s">
        <v>24</v>
      </c>
      <c r="E20" s="31" t="s">
        <v>21</v>
      </c>
      <c r="F20" s="32">
        <v>42375</v>
      </c>
      <c r="G20" s="33" t="s">
        <v>17</v>
      </c>
      <c r="H20" s="33" t="str">
        <f t="shared" si="0"/>
        <v>10007-Alaska King Crab</v>
      </c>
    </row>
    <row r="21" spans="3:8" x14ac:dyDescent="0.3">
      <c r="C21" s="30">
        <v>10008</v>
      </c>
      <c r="D21" s="31" t="s">
        <v>5</v>
      </c>
      <c r="E21" s="31" t="s">
        <v>14</v>
      </c>
      <c r="F21" s="32">
        <v>42376</v>
      </c>
      <c r="G21" s="33" t="s">
        <v>25</v>
      </c>
      <c r="H21" s="33" t="str">
        <f t="shared" si="0"/>
        <v>10008-Simply Sweet Scones</v>
      </c>
    </row>
    <row r="22" spans="3:8" x14ac:dyDescent="0.3">
      <c r="C22" s="30">
        <v>10008</v>
      </c>
      <c r="D22" s="31" t="s">
        <v>4</v>
      </c>
      <c r="E22" s="31" t="s">
        <v>14</v>
      </c>
      <c r="F22" s="32">
        <v>42376</v>
      </c>
      <c r="G22" s="33" t="s">
        <v>17</v>
      </c>
      <c r="H22" s="33" t="str">
        <f t="shared" si="0"/>
        <v>10008-Alaska King Crab</v>
      </c>
    </row>
    <row r="23" spans="3:8" x14ac:dyDescent="0.3">
      <c r="C23" s="30">
        <v>10009</v>
      </c>
      <c r="D23" s="31" t="s">
        <v>2</v>
      </c>
      <c r="E23" s="31" t="s">
        <v>18</v>
      </c>
      <c r="F23" s="32">
        <v>42378</v>
      </c>
      <c r="G23" s="33" t="s">
        <v>26</v>
      </c>
      <c r="H23" s="33" t="str">
        <f t="shared" si="0"/>
        <v>10009-Smoked Salmon</v>
      </c>
    </row>
    <row r="24" spans="3:8" x14ac:dyDescent="0.3">
      <c r="C24" s="30">
        <v>10009</v>
      </c>
      <c r="D24" s="31" t="s">
        <v>2</v>
      </c>
      <c r="E24" s="31" t="s">
        <v>18</v>
      </c>
      <c r="F24" s="32">
        <v>42378</v>
      </c>
      <c r="G24" s="33" t="s">
        <v>20</v>
      </c>
      <c r="H24" s="33" t="str">
        <f t="shared" si="0"/>
        <v>10009-Orange Honey</v>
      </c>
    </row>
    <row r="25" spans="3:8" x14ac:dyDescent="0.3">
      <c r="C25" s="30">
        <v>10010</v>
      </c>
      <c r="D25" s="31" t="s">
        <v>27</v>
      </c>
      <c r="E25" s="31" t="s">
        <v>21</v>
      </c>
      <c r="F25" s="32">
        <v>42378</v>
      </c>
      <c r="G25" s="33" t="s">
        <v>25</v>
      </c>
      <c r="H25" s="33" t="str">
        <f t="shared" si="0"/>
        <v>10010-Simply Sweet Scones</v>
      </c>
    </row>
    <row r="26" spans="3:8" x14ac:dyDescent="0.3">
      <c r="C26" s="30">
        <v>10011</v>
      </c>
      <c r="D26" s="31" t="s">
        <v>5</v>
      </c>
      <c r="E26" s="31" t="s">
        <v>28</v>
      </c>
      <c r="F26" s="32">
        <v>42379</v>
      </c>
      <c r="G26" s="33" t="s">
        <v>26</v>
      </c>
      <c r="H26" s="33" t="str">
        <f t="shared" si="0"/>
        <v>10011-Smoked Salmon</v>
      </c>
    </row>
    <row r="27" spans="3:8" x14ac:dyDescent="0.3">
      <c r="C27" s="30">
        <v>10012</v>
      </c>
      <c r="D27" s="31" t="s">
        <v>8</v>
      </c>
      <c r="E27" s="31" t="s">
        <v>28</v>
      </c>
      <c r="F27" s="32">
        <v>42382</v>
      </c>
      <c r="G27" s="33" t="s">
        <v>29</v>
      </c>
      <c r="H27" s="33" t="str">
        <f t="shared" si="0"/>
        <v>10012-Bandon Cranberry Jam</v>
      </c>
    </row>
    <row r="28" spans="3:8" x14ac:dyDescent="0.3">
      <c r="C28" s="30">
        <v>10013</v>
      </c>
      <c r="D28" s="31" t="s">
        <v>4</v>
      </c>
      <c r="E28" s="31" t="s">
        <v>30</v>
      </c>
      <c r="F28" s="32">
        <v>42382</v>
      </c>
      <c r="G28" s="33" t="s">
        <v>31</v>
      </c>
      <c r="H28" s="33" t="str">
        <f t="shared" si="0"/>
        <v>10013-Boysenberry Jam</v>
      </c>
    </row>
  </sheetData>
  <mergeCells count="1">
    <mergeCell ref="C9:H9"/>
  </mergeCells>
  <hyperlinks>
    <hyperlink ref="A1" location="'Lo que aprenderás'!A1" display="Inicio" xr:uid="{F3B5D6A2-6A0E-4EEF-8FFC-AB996BBA6282}"/>
  </hyperlinks>
  <pageMargins left="0.7" right="0.7" top="0.75" bottom="0.75" header="0.3" footer="0.3"/>
  <pageSetup paperSize="9" scale="7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E0045-B46B-4015-9566-86BBD88E232B}">
  <sheetPr codeName="Hoja10"/>
  <dimension ref="A1:K324"/>
  <sheetViews>
    <sheetView showGridLines="0" zoomScale="114" zoomScaleNormal="175" workbookViewId="0"/>
  </sheetViews>
  <sheetFormatPr baseColWidth="10" defaultColWidth="11.54296875" defaultRowHeight="14.5" x14ac:dyDescent="0.35"/>
  <cols>
    <col min="1" max="1" width="11.1796875" bestFit="1" customWidth="1"/>
    <col min="2" max="2" width="32" bestFit="1" customWidth="1"/>
    <col min="3" max="3" width="1.1796875" customWidth="1"/>
    <col min="4" max="4" width="8.81640625" bestFit="1" customWidth="1"/>
    <col min="5" max="5" width="11.81640625" bestFit="1" customWidth="1"/>
    <col min="6" max="6" width="23" bestFit="1" customWidth="1"/>
    <col min="7" max="7" width="14" bestFit="1" customWidth="1"/>
    <col min="8" max="8" width="17.90625" style="25" bestFit="1" customWidth="1"/>
    <col min="9" max="9" width="6.6328125" bestFit="1" customWidth="1"/>
    <col min="10" max="10" width="9.26953125" customWidth="1"/>
    <col min="11" max="11" width="12.7265625" bestFit="1" customWidth="1"/>
  </cols>
  <sheetData>
    <row r="1" spans="1:11" ht="29" x14ac:dyDescent="0.35">
      <c r="A1" s="46" t="s">
        <v>35</v>
      </c>
      <c r="B1" s="47" t="s">
        <v>424</v>
      </c>
      <c r="C1" s="62"/>
    </row>
    <row r="2" spans="1:11" ht="15.5" x14ac:dyDescent="0.35">
      <c r="C2" s="51"/>
      <c r="D2" s="56" t="s">
        <v>55</v>
      </c>
      <c r="E2" s="56" t="s">
        <v>78</v>
      </c>
      <c r="F2" s="56" t="s">
        <v>813</v>
      </c>
      <c r="G2" s="56" t="s">
        <v>79</v>
      </c>
      <c r="H2" s="83" t="s">
        <v>812</v>
      </c>
      <c r="I2" s="56" t="s">
        <v>408</v>
      </c>
      <c r="J2" s="56" t="s">
        <v>409</v>
      </c>
      <c r="K2" t="e" cm="1" vm="1">
        <f t="array" ref="K2">_FV(J2,"Población")</f>
        <v>#VALUE!</v>
      </c>
    </row>
    <row r="3" spans="1:11" x14ac:dyDescent="0.35">
      <c r="A3" s="45" t="b">
        <v>1</v>
      </c>
      <c r="B3" s="11" t="s">
        <v>419</v>
      </c>
      <c r="C3" s="51"/>
      <c r="D3" t="s">
        <v>80</v>
      </c>
      <c r="E3" t="s">
        <v>425</v>
      </c>
      <c r="F3" t="s">
        <v>426</v>
      </c>
      <c r="G3" s="24">
        <v>45634</v>
      </c>
      <c r="H3" s="25">
        <f ca="1">TODAY()-G3</f>
        <v>331</v>
      </c>
      <c r="I3">
        <v>2294</v>
      </c>
      <c r="J3" t="e" vm="2">
        <v>#VALUE!</v>
      </c>
      <c r="K3" cm="1" vm="3">
        <f t="array" aca="1" ref="K3" ca="1">_FV(J3,"Población")</f>
        <v>215313498</v>
      </c>
    </row>
    <row r="4" spans="1:11" x14ac:dyDescent="0.35">
      <c r="A4" s="45" t="b">
        <v>1</v>
      </c>
      <c r="B4" t="s">
        <v>420</v>
      </c>
      <c r="C4" s="51"/>
      <c r="D4" t="s">
        <v>82</v>
      </c>
      <c r="E4" t="s">
        <v>127</v>
      </c>
      <c r="F4" t="s">
        <v>529</v>
      </c>
      <c r="G4" s="24">
        <v>45601</v>
      </c>
      <c r="H4" s="25">
        <f t="shared" ref="H4:H67" ca="1" si="0">TODAY()-G4</f>
        <v>364</v>
      </c>
      <c r="I4">
        <v>13932</v>
      </c>
      <c r="J4" t="e" vm="4">
        <v>#VALUE!</v>
      </c>
      <c r="K4" cm="1" vm="5">
        <f t="array" aca="1" ref="K4" ca="1">_FV(J4,"Población")</f>
        <v>1412175000</v>
      </c>
    </row>
    <row r="5" spans="1:11" x14ac:dyDescent="0.35">
      <c r="A5" s="45" t="b">
        <v>1</v>
      </c>
      <c r="B5" t="s">
        <v>422</v>
      </c>
      <c r="C5" s="51"/>
      <c r="D5" t="s">
        <v>83</v>
      </c>
      <c r="E5" t="s">
        <v>81</v>
      </c>
      <c r="F5" t="s">
        <v>632</v>
      </c>
      <c r="G5" s="24">
        <v>45668</v>
      </c>
      <c r="H5" s="25">
        <f t="shared" ca="1" si="0"/>
        <v>297</v>
      </c>
      <c r="I5">
        <v>5277</v>
      </c>
      <c r="J5" t="e" vm="6">
        <v>#VALUE!</v>
      </c>
      <c r="K5" cm="1" vm="7">
        <f t="array" aca="1" ref="K5" ca="1">_FV(J5,"Población")</f>
        <v>46234830</v>
      </c>
    </row>
    <row r="6" spans="1:11" x14ac:dyDescent="0.35">
      <c r="A6" s="45" t="b">
        <v>1</v>
      </c>
      <c r="B6" t="s">
        <v>421</v>
      </c>
      <c r="C6" s="51"/>
      <c r="D6" t="s">
        <v>84</v>
      </c>
      <c r="E6" t="s">
        <v>350</v>
      </c>
      <c r="F6" t="s">
        <v>530</v>
      </c>
      <c r="G6" s="24">
        <v>45640</v>
      </c>
      <c r="H6" s="25">
        <f t="shared" ca="1" si="0"/>
        <v>325</v>
      </c>
      <c r="I6">
        <v>16085</v>
      </c>
      <c r="J6" t="e" vm="4">
        <v>#VALUE!</v>
      </c>
      <c r="K6" cm="1" vm="5">
        <f t="array" aca="1" ref="K6" ca="1">_FV(J6,"Población")</f>
        <v>1412175000</v>
      </c>
    </row>
    <row r="7" spans="1:11" x14ac:dyDescent="0.35">
      <c r="A7" s="45" t="b">
        <v>1</v>
      </c>
      <c r="B7" t="s">
        <v>423</v>
      </c>
      <c r="C7" s="51"/>
      <c r="D7" t="s">
        <v>85</v>
      </c>
      <c r="E7" t="s">
        <v>425</v>
      </c>
      <c r="F7" t="s">
        <v>531</v>
      </c>
      <c r="G7" s="24">
        <v>45670</v>
      </c>
      <c r="H7" s="25">
        <f t="shared" ca="1" si="0"/>
        <v>295</v>
      </c>
      <c r="I7">
        <v>16357</v>
      </c>
      <c r="J7" t="e" vm="4">
        <v>#VALUE!</v>
      </c>
      <c r="K7" cm="1" vm="5">
        <f t="array" aca="1" ref="K7" ca="1">_FV(J7,"Población")</f>
        <v>1412175000</v>
      </c>
    </row>
    <row r="8" spans="1:11" x14ac:dyDescent="0.35">
      <c r="C8" s="51"/>
      <c r="D8" t="s">
        <v>86</v>
      </c>
      <c r="E8" t="s">
        <v>350</v>
      </c>
      <c r="F8" t="s">
        <v>633</v>
      </c>
      <c r="G8" s="24">
        <v>45681</v>
      </c>
      <c r="H8" s="25">
        <f t="shared" ca="1" si="0"/>
        <v>284</v>
      </c>
      <c r="I8">
        <v>19413</v>
      </c>
      <c r="J8" t="e" vm="6">
        <v>#VALUE!</v>
      </c>
      <c r="K8" cm="1" vm="7">
        <f t="array" aca="1" ref="K8" ca="1">_FV(J8,"Población")</f>
        <v>46234830</v>
      </c>
    </row>
    <row r="9" spans="1:11" x14ac:dyDescent="0.35">
      <c r="C9" s="51"/>
      <c r="D9" t="s">
        <v>87</v>
      </c>
      <c r="E9" t="s">
        <v>361</v>
      </c>
      <c r="F9" t="s">
        <v>634</v>
      </c>
      <c r="G9" s="24">
        <v>45650</v>
      </c>
      <c r="H9" s="25">
        <f t="shared" ca="1" si="0"/>
        <v>315</v>
      </c>
      <c r="I9">
        <v>11388</v>
      </c>
      <c r="J9" t="e" vm="6">
        <v>#VALUE!</v>
      </c>
      <c r="K9" cm="1" vm="7">
        <f t="array" aca="1" ref="K9" ca="1">_FV(J9,"Población")</f>
        <v>46234830</v>
      </c>
    </row>
    <row r="10" spans="1:11" x14ac:dyDescent="0.35">
      <c r="C10" s="51"/>
      <c r="D10" t="s">
        <v>88</v>
      </c>
      <c r="E10" t="s">
        <v>305</v>
      </c>
      <c r="F10" t="s">
        <v>635</v>
      </c>
      <c r="G10" s="24">
        <v>45676</v>
      </c>
      <c r="H10" s="25">
        <f t="shared" ca="1" si="0"/>
        <v>289</v>
      </c>
      <c r="I10">
        <v>14682</v>
      </c>
      <c r="J10" t="e" vm="6">
        <v>#VALUE!</v>
      </c>
      <c r="K10" cm="1" vm="7">
        <f t="array" aca="1" ref="K10" ca="1">_FV(J10,"Población")</f>
        <v>46234830</v>
      </c>
    </row>
    <row r="11" spans="1:11" x14ac:dyDescent="0.35">
      <c r="C11" s="51"/>
      <c r="D11" t="s">
        <v>89</v>
      </c>
      <c r="E11" t="s">
        <v>110</v>
      </c>
      <c r="F11" t="s">
        <v>532</v>
      </c>
      <c r="G11" s="24">
        <v>45676</v>
      </c>
      <c r="H11" s="25">
        <f t="shared" ca="1" si="0"/>
        <v>289</v>
      </c>
      <c r="I11">
        <v>11295</v>
      </c>
      <c r="J11" t="e" vm="4">
        <v>#VALUE!</v>
      </c>
      <c r="K11" cm="1" vm="5">
        <f t="array" aca="1" ref="K11" ca="1">_FV(J11,"Población")</f>
        <v>1412175000</v>
      </c>
    </row>
    <row r="12" spans="1:11" x14ac:dyDescent="0.35">
      <c r="C12" s="51"/>
      <c r="D12" t="s">
        <v>90</v>
      </c>
      <c r="E12" t="s">
        <v>425</v>
      </c>
      <c r="F12" t="s">
        <v>427</v>
      </c>
      <c r="G12" s="24">
        <v>45616</v>
      </c>
      <c r="H12" s="25">
        <f t="shared" ca="1" si="0"/>
        <v>349</v>
      </c>
      <c r="I12">
        <v>12040</v>
      </c>
      <c r="J12" t="e" vm="2">
        <v>#VALUE!</v>
      </c>
      <c r="K12" cm="1" vm="3">
        <f t="array" aca="1" ref="K12" ca="1">_FV(J12,"Población")</f>
        <v>215313498</v>
      </c>
    </row>
    <row r="13" spans="1:11" x14ac:dyDescent="0.35">
      <c r="C13" s="51"/>
      <c r="D13" t="s">
        <v>91</v>
      </c>
      <c r="E13" t="s">
        <v>81</v>
      </c>
      <c r="F13" t="s">
        <v>636</v>
      </c>
      <c r="G13" s="24">
        <v>45644</v>
      </c>
      <c r="H13" s="25">
        <f t="shared" ca="1" si="0"/>
        <v>321</v>
      </c>
      <c r="I13">
        <v>8892</v>
      </c>
      <c r="J13" t="e" vm="6">
        <v>#VALUE!</v>
      </c>
      <c r="K13" cm="1" vm="7">
        <f t="array" aca="1" ref="K13" ca="1">_FV(J13,"Población")</f>
        <v>46234830</v>
      </c>
    </row>
    <row r="14" spans="1:11" x14ac:dyDescent="0.35">
      <c r="C14" s="51"/>
      <c r="D14" t="s">
        <v>92</v>
      </c>
      <c r="E14" t="s">
        <v>305</v>
      </c>
      <c r="F14" t="s">
        <v>533</v>
      </c>
      <c r="G14" s="24">
        <v>45639</v>
      </c>
      <c r="H14" s="25">
        <f t="shared" ca="1" si="0"/>
        <v>326</v>
      </c>
      <c r="I14">
        <v>4172</v>
      </c>
      <c r="J14" t="e" vm="4">
        <v>#VALUE!</v>
      </c>
      <c r="K14" cm="1" vm="5">
        <f t="array" aca="1" ref="K14" ca="1">_FV(J14,"Población")</f>
        <v>1412175000</v>
      </c>
    </row>
    <row r="15" spans="1:11" x14ac:dyDescent="0.35">
      <c r="C15" s="51"/>
      <c r="D15" t="s">
        <v>93</v>
      </c>
      <c r="E15" t="s">
        <v>361</v>
      </c>
      <c r="F15" t="s">
        <v>428</v>
      </c>
      <c r="G15" s="24">
        <v>45611</v>
      </c>
      <c r="H15" s="25">
        <f t="shared" ca="1" si="0"/>
        <v>354</v>
      </c>
      <c r="I15">
        <v>14820</v>
      </c>
      <c r="J15" t="e" vm="2">
        <v>#VALUE!</v>
      </c>
      <c r="K15" cm="1" vm="3">
        <f t="array" aca="1" ref="K15" ca="1">_FV(J15,"Población")</f>
        <v>215313498</v>
      </c>
    </row>
    <row r="16" spans="1:11" x14ac:dyDescent="0.35">
      <c r="C16" s="51"/>
      <c r="D16" t="s">
        <v>94</v>
      </c>
      <c r="E16" t="s">
        <v>361</v>
      </c>
      <c r="F16" t="s">
        <v>534</v>
      </c>
      <c r="G16" s="24">
        <v>45631</v>
      </c>
      <c r="H16" s="25">
        <f t="shared" ca="1" si="0"/>
        <v>334</v>
      </c>
      <c r="I16">
        <v>16881</v>
      </c>
      <c r="J16" t="e" vm="4">
        <v>#VALUE!</v>
      </c>
      <c r="K16" cm="1" vm="5">
        <f t="array" aca="1" ref="K16" ca="1">_FV(J16,"Población")</f>
        <v>1412175000</v>
      </c>
    </row>
    <row r="17" spans="3:11" x14ac:dyDescent="0.35">
      <c r="C17" s="51"/>
      <c r="D17" t="s">
        <v>95</v>
      </c>
      <c r="E17" t="s">
        <v>305</v>
      </c>
      <c r="F17" t="s">
        <v>535</v>
      </c>
      <c r="G17" s="24">
        <v>45675</v>
      </c>
      <c r="H17" s="25">
        <f t="shared" ca="1" si="0"/>
        <v>290</v>
      </c>
      <c r="I17">
        <v>2181</v>
      </c>
      <c r="J17" t="e" vm="4">
        <v>#VALUE!</v>
      </c>
      <c r="K17" cm="1" vm="5">
        <f t="array" aca="1" ref="K17" ca="1">_FV(J17,"Población")</f>
        <v>1412175000</v>
      </c>
    </row>
    <row r="18" spans="3:11" x14ac:dyDescent="0.35">
      <c r="C18" s="51"/>
      <c r="D18" t="s">
        <v>96</v>
      </c>
      <c r="E18" t="s">
        <v>305</v>
      </c>
      <c r="F18" t="s">
        <v>536</v>
      </c>
      <c r="G18" s="24">
        <v>45656</v>
      </c>
      <c r="H18" s="25">
        <f t="shared" ca="1" si="0"/>
        <v>309</v>
      </c>
      <c r="I18">
        <v>16813</v>
      </c>
      <c r="J18" t="e" vm="4">
        <v>#VALUE!</v>
      </c>
      <c r="K18" cm="1" vm="5">
        <f t="array" aca="1" ref="K18" ca="1">_FV(J18,"Población")</f>
        <v>1412175000</v>
      </c>
    </row>
    <row r="19" spans="3:11" x14ac:dyDescent="0.35">
      <c r="C19" s="51"/>
      <c r="D19" t="s">
        <v>97</v>
      </c>
      <c r="E19" t="s">
        <v>127</v>
      </c>
      <c r="F19" t="s">
        <v>429</v>
      </c>
      <c r="G19" s="24">
        <v>45660</v>
      </c>
      <c r="H19" s="25">
        <f t="shared" ca="1" si="0"/>
        <v>305</v>
      </c>
      <c r="I19">
        <v>3336</v>
      </c>
      <c r="J19" t="e" vm="2">
        <v>#VALUE!</v>
      </c>
      <c r="K19" cm="1" vm="3">
        <f t="array" aca="1" ref="K19" ca="1">_FV(J19,"Población")</f>
        <v>215313498</v>
      </c>
    </row>
    <row r="20" spans="3:11" x14ac:dyDescent="0.35">
      <c r="C20" s="51"/>
      <c r="D20" t="s">
        <v>98</v>
      </c>
      <c r="E20" t="s">
        <v>361</v>
      </c>
      <c r="F20" t="s">
        <v>430</v>
      </c>
      <c r="G20" s="24">
        <v>45666</v>
      </c>
      <c r="H20" s="25">
        <f t="shared" ca="1" si="0"/>
        <v>299</v>
      </c>
      <c r="I20">
        <v>1573</v>
      </c>
      <c r="J20" t="e" vm="2">
        <v>#VALUE!</v>
      </c>
      <c r="K20" cm="1" vm="3">
        <f t="array" aca="1" ref="K20" ca="1">_FV(J20,"Población")</f>
        <v>215313498</v>
      </c>
    </row>
    <row r="21" spans="3:11" x14ac:dyDescent="0.35">
      <c r="C21" s="51"/>
      <c r="D21" t="s">
        <v>99</v>
      </c>
      <c r="E21" t="s">
        <v>425</v>
      </c>
      <c r="F21" t="s">
        <v>537</v>
      </c>
      <c r="G21" s="24">
        <v>45678</v>
      </c>
      <c r="H21" s="25">
        <f t="shared" ca="1" si="0"/>
        <v>287</v>
      </c>
      <c r="I21">
        <v>2796</v>
      </c>
      <c r="J21" t="e" vm="4">
        <v>#VALUE!</v>
      </c>
      <c r="K21" cm="1" vm="5">
        <f t="array" aca="1" ref="K21" ca="1">_FV(J21,"Población")</f>
        <v>1412175000</v>
      </c>
    </row>
    <row r="22" spans="3:11" x14ac:dyDescent="0.35">
      <c r="C22" s="51"/>
      <c r="D22" t="s">
        <v>100</v>
      </c>
      <c r="E22" t="s">
        <v>110</v>
      </c>
      <c r="F22" t="s">
        <v>538</v>
      </c>
      <c r="G22" s="24">
        <v>45609</v>
      </c>
      <c r="H22" s="25">
        <f t="shared" ca="1" si="0"/>
        <v>356</v>
      </c>
      <c r="I22">
        <v>18910</v>
      </c>
      <c r="J22" t="e" vm="4">
        <v>#VALUE!</v>
      </c>
      <c r="K22" cm="1" vm="5">
        <f t="array" aca="1" ref="K22" ca="1">_FV(J22,"Población")</f>
        <v>1412175000</v>
      </c>
    </row>
    <row r="23" spans="3:11" x14ac:dyDescent="0.35">
      <c r="C23" s="51"/>
      <c r="D23" t="s">
        <v>101</v>
      </c>
      <c r="E23" t="s">
        <v>305</v>
      </c>
      <c r="F23" t="s">
        <v>539</v>
      </c>
      <c r="G23" s="24">
        <v>45601</v>
      </c>
      <c r="H23" s="25">
        <f t="shared" ca="1" si="0"/>
        <v>364</v>
      </c>
      <c r="I23">
        <v>6618</v>
      </c>
      <c r="J23" t="e" vm="4">
        <v>#VALUE!</v>
      </c>
      <c r="K23" cm="1" vm="5">
        <f t="array" aca="1" ref="K23" ca="1">_FV(J23,"Población")</f>
        <v>1412175000</v>
      </c>
    </row>
    <row r="24" spans="3:11" x14ac:dyDescent="0.35">
      <c r="C24" s="51"/>
      <c r="D24" t="s">
        <v>102</v>
      </c>
      <c r="E24" t="s">
        <v>425</v>
      </c>
      <c r="F24" t="s">
        <v>637</v>
      </c>
      <c r="G24" s="24">
        <v>45638</v>
      </c>
      <c r="H24" s="25">
        <f t="shared" ca="1" si="0"/>
        <v>327</v>
      </c>
      <c r="I24">
        <v>6272</v>
      </c>
      <c r="J24" t="e" vm="6">
        <v>#VALUE!</v>
      </c>
      <c r="K24" cm="1" vm="7">
        <f t="array" aca="1" ref="K24" ca="1">_FV(J24,"Población")</f>
        <v>46234830</v>
      </c>
    </row>
    <row r="25" spans="3:11" x14ac:dyDescent="0.35">
      <c r="C25" s="51"/>
      <c r="D25" t="s">
        <v>103</v>
      </c>
      <c r="E25" t="s">
        <v>350</v>
      </c>
      <c r="F25" t="s">
        <v>638</v>
      </c>
      <c r="G25" s="24">
        <v>45627</v>
      </c>
      <c r="H25" s="25">
        <f t="shared" ca="1" si="0"/>
        <v>338</v>
      </c>
      <c r="I25">
        <v>18100</v>
      </c>
      <c r="J25" t="e" vm="6">
        <v>#VALUE!</v>
      </c>
      <c r="K25" cm="1" vm="7">
        <f t="array" aca="1" ref="K25" ca="1">_FV(J25,"Población")</f>
        <v>46234830</v>
      </c>
    </row>
    <row r="26" spans="3:11" x14ac:dyDescent="0.35">
      <c r="C26" s="51"/>
      <c r="D26" t="s">
        <v>104</v>
      </c>
      <c r="E26" t="s">
        <v>361</v>
      </c>
      <c r="F26" t="s">
        <v>639</v>
      </c>
      <c r="G26" s="24">
        <v>45607</v>
      </c>
      <c r="H26" s="25">
        <f t="shared" ca="1" si="0"/>
        <v>358</v>
      </c>
      <c r="I26">
        <v>14817</v>
      </c>
      <c r="J26" t="e" vm="6">
        <v>#VALUE!</v>
      </c>
      <c r="K26" cm="1" vm="7">
        <f t="array" aca="1" ref="K26" ca="1">_FV(J26,"Población")</f>
        <v>46234830</v>
      </c>
    </row>
    <row r="27" spans="3:11" x14ac:dyDescent="0.35">
      <c r="C27" s="51"/>
      <c r="D27" t="s">
        <v>105</v>
      </c>
      <c r="E27" t="s">
        <v>110</v>
      </c>
      <c r="F27" t="s">
        <v>640</v>
      </c>
      <c r="G27" s="24">
        <v>45609</v>
      </c>
      <c r="H27" s="25">
        <f t="shared" ca="1" si="0"/>
        <v>356</v>
      </c>
      <c r="I27">
        <v>9644</v>
      </c>
      <c r="J27" t="e" vm="6">
        <v>#VALUE!</v>
      </c>
      <c r="K27" cm="1" vm="7">
        <f t="array" aca="1" ref="K27" ca="1">_FV(J27,"Población")</f>
        <v>46234830</v>
      </c>
    </row>
    <row r="28" spans="3:11" x14ac:dyDescent="0.35">
      <c r="C28" s="51"/>
      <c r="D28" t="s">
        <v>106</v>
      </c>
      <c r="E28" t="s">
        <v>305</v>
      </c>
      <c r="F28" t="s">
        <v>641</v>
      </c>
      <c r="G28" s="24">
        <v>45686</v>
      </c>
      <c r="H28" s="25">
        <f t="shared" ca="1" si="0"/>
        <v>279</v>
      </c>
      <c r="I28">
        <v>1476</v>
      </c>
      <c r="J28" t="e" vm="6">
        <v>#VALUE!</v>
      </c>
      <c r="K28" cm="1" vm="7">
        <f t="array" aca="1" ref="K28" ca="1">_FV(J28,"Población")</f>
        <v>46234830</v>
      </c>
    </row>
    <row r="29" spans="3:11" x14ac:dyDescent="0.35">
      <c r="C29" s="51"/>
      <c r="D29" t="s">
        <v>107</v>
      </c>
      <c r="E29" t="s">
        <v>425</v>
      </c>
      <c r="F29" t="s">
        <v>431</v>
      </c>
      <c r="G29" s="24">
        <v>45684</v>
      </c>
      <c r="H29" s="25">
        <f t="shared" ca="1" si="0"/>
        <v>281</v>
      </c>
      <c r="I29">
        <v>19430</v>
      </c>
      <c r="J29" t="e" vm="2">
        <v>#VALUE!</v>
      </c>
      <c r="K29" cm="1" vm="3">
        <f t="array" aca="1" ref="K29" ca="1">_FV(J29,"Población")</f>
        <v>215313498</v>
      </c>
    </row>
    <row r="30" spans="3:11" x14ac:dyDescent="0.35">
      <c r="C30" s="51"/>
      <c r="D30" t="s">
        <v>108</v>
      </c>
      <c r="E30" t="s">
        <v>350</v>
      </c>
      <c r="F30" t="s">
        <v>540</v>
      </c>
      <c r="G30" s="24">
        <v>45661</v>
      </c>
      <c r="H30" s="25">
        <f t="shared" ca="1" si="0"/>
        <v>304</v>
      </c>
      <c r="I30">
        <v>17519</v>
      </c>
      <c r="J30" t="e" vm="4">
        <v>#VALUE!</v>
      </c>
      <c r="K30" cm="1" vm="5">
        <f t="array" aca="1" ref="K30" ca="1">_FV(J30,"Población")</f>
        <v>1412175000</v>
      </c>
    </row>
    <row r="31" spans="3:11" x14ac:dyDescent="0.35">
      <c r="C31" s="51"/>
      <c r="D31" t="s">
        <v>109</v>
      </c>
      <c r="E31" t="s">
        <v>127</v>
      </c>
      <c r="F31" t="s">
        <v>642</v>
      </c>
      <c r="G31" s="24">
        <v>45604</v>
      </c>
      <c r="H31" s="25">
        <f t="shared" ca="1" si="0"/>
        <v>361</v>
      </c>
      <c r="I31">
        <v>5650</v>
      </c>
      <c r="J31" t="e" vm="6">
        <v>#VALUE!</v>
      </c>
      <c r="K31" cm="1" vm="7">
        <f t="array" aca="1" ref="K31" ca="1">_FV(J31,"Población")</f>
        <v>46234830</v>
      </c>
    </row>
    <row r="32" spans="3:11" x14ac:dyDescent="0.35">
      <c r="C32" s="51"/>
      <c r="D32" t="s">
        <v>111</v>
      </c>
      <c r="E32" t="s">
        <v>361</v>
      </c>
      <c r="F32" t="s">
        <v>541</v>
      </c>
      <c r="G32" s="24">
        <v>45637</v>
      </c>
      <c r="H32" s="25">
        <f t="shared" ca="1" si="0"/>
        <v>328</v>
      </c>
      <c r="I32">
        <v>14642</v>
      </c>
      <c r="J32" t="e" vm="4">
        <v>#VALUE!</v>
      </c>
      <c r="K32" cm="1" vm="5">
        <f t="array" aca="1" ref="K32" ca="1">_FV(J32,"Población")</f>
        <v>1412175000</v>
      </c>
    </row>
    <row r="33" spans="3:11" x14ac:dyDescent="0.35">
      <c r="C33" s="51"/>
      <c r="D33" t="s">
        <v>112</v>
      </c>
      <c r="E33" t="s">
        <v>361</v>
      </c>
      <c r="F33" t="s">
        <v>542</v>
      </c>
      <c r="G33" s="24">
        <v>45667</v>
      </c>
      <c r="H33" s="25">
        <f t="shared" ca="1" si="0"/>
        <v>298</v>
      </c>
      <c r="I33">
        <v>8335</v>
      </c>
      <c r="J33" t="e" vm="4">
        <v>#VALUE!</v>
      </c>
      <c r="K33" cm="1" vm="5">
        <f t="array" aca="1" ref="K33" ca="1">_FV(J33,"Población")</f>
        <v>1412175000</v>
      </c>
    </row>
    <row r="34" spans="3:11" x14ac:dyDescent="0.35">
      <c r="C34" s="51"/>
      <c r="D34" t="s">
        <v>113</v>
      </c>
      <c r="E34" t="s">
        <v>81</v>
      </c>
      <c r="F34" t="s">
        <v>543</v>
      </c>
      <c r="G34" s="24">
        <v>45611</v>
      </c>
      <c r="H34" s="25">
        <f t="shared" ca="1" si="0"/>
        <v>354</v>
      </c>
      <c r="I34">
        <v>2905</v>
      </c>
      <c r="J34" t="e" vm="4">
        <v>#VALUE!</v>
      </c>
      <c r="K34" cm="1" vm="5">
        <f t="array" aca="1" ref="K34" ca="1">_FV(J34,"Población")</f>
        <v>1412175000</v>
      </c>
    </row>
    <row r="35" spans="3:11" x14ac:dyDescent="0.35">
      <c r="C35" s="51"/>
      <c r="D35" t="s">
        <v>114</v>
      </c>
      <c r="E35" t="s">
        <v>425</v>
      </c>
      <c r="F35" t="s">
        <v>544</v>
      </c>
      <c r="G35" s="24">
        <v>45652</v>
      </c>
      <c r="H35" s="25">
        <f t="shared" ca="1" si="0"/>
        <v>313</v>
      </c>
      <c r="I35">
        <v>13977</v>
      </c>
      <c r="J35" t="e" vm="4">
        <v>#VALUE!</v>
      </c>
      <c r="K35" cm="1" vm="5">
        <f t="array" aca="1" ref="K35" ca="1">_FV(J35,"Población")</f>
        <v>1412175000</v>
      </c>
    </row>
    <row r="36" spans="3:11" x14ac:dyDescent="0.35">
      <c r="C36" s="51"/>
      <c r="D36" t="s">
        <v>115</v>
      </c>
      <c r="E36" t="s">
        <v>361</v>
      </c>
      <c r="F36" t="s">
        <v>545</v>
      </c>
      <c r="G36" s="24">
        <v>45621</v>
      </c>
      <c r="H36" s="25">
        <f t="shared" ca="1" si="0"/>
        <v>344</v>
      </c>
      <c r="I36">
        <v>10819</v>
      </c>
      <c r="J36" t="e" vm="4">
        <v>#VALUE!</v>
      </c>
      <c r="K36" cm="1" vm="5">
        <f t="array" aca="1" ref="K36" ca="1">_FV(J36,"Población")</f>
        <v>1412175000</v>
      </c>
    </row>
    <row r="37" spans="3:11" x14ac:dyDescent="0.35">
      <c r="C37" s="51"/>
      <c r="D37" t="s">
        <v>116</v>
      </c>
      <c r="E37" t="s">
        <v>81</v>
      </c>
      <c r="F37" t="s">
        <v>643</v>
      </c>
      <c r="G37" s="24">
        <v>45645</v>
      </c>
      <c r="H37" s="25">
        <f t="shared" ca="1" si="0"/>
        <v>320</v>
      </c>
      <c r="I37">
        <v>14226</v>
      </c>
      <c r="J37" t="e" vm="6">
        <v>#VALUE!</v>
      </c>
      <c r="K37" cm="1" vm="7">
        <f t="array" aca="1" ref="K37" ca="1">_FV(J37,"Población")</f>
        <v>46234830</v>
      </c>
    </row>
    <row r="38" spans="3:11" x14ac:dyDescent="0.35">
      <c r="C38" s="51"/>
      <c r="D38" t="s">
        <v>117</v>
      </c>
      <c r="E38" t="s">
        <v>361</v>
      </c>
      <c r="F38" t="s">
        <v>432</v>
      </c>
      <c r="G38" s="24">
        <v>45670</v>
      </c>
      <c r="H38" s="25">
        <f t="shared" ca="1" si="0"/>
        <v>295</v>
      </c>
      <c r="I38">
        <v>14054</v>
      </c>
      <c r="J38" t="e" vm="2">
        <v>#VALUE!</v>
      </c>
      <c r="K38" cm="1" vm="3">
        <f t="array" aca="1" ref="K38" ca="1">_FV(J38,"Población")</f>
        <v>215313498</v>
      </c>
    </row>
    <row r="39" spans="3:11" x14ac:dyDescent="0.35">
      <c r="C39" s="51"/>
      <c r="D39" t="s">
        <v>118</v>
      </c>
      <c r="E39" t="s">
        <v>127</v>
      </c>
      <c r="F39" t="s">
        <v>546</v>
      </c>
      <c r="G39" s="24">
        <v>45669</v>
      </c>
      <c r="H39" s="25">
        <f t="shared" ca="1" si="0"/>
        <v>296</v>
      </c>
      <c r="I39">
        <v>14015</v>
      </c>
      <c r="J39" t="e" vm="4">
        <v>#VALUE!</v>
      </c>
      <c r="K39" cm="1" vm="5">
        <f t="array" aca="1" ref="K39" ca="1">_FV(J39,"Población")</f>
        <v>1412175000</v>
      </c>
    </row>
    <row r="40" spans="3:11" x14ac:dyDescent="0.35">
      <c r="C40" s="51"/>
      <c r="D40" t="s">
        <v>119</v>
      </c>
      <c r="E40" t="s">
        <v>81</v>
      </c>
      <c r="F40" t="s">
        <v>433</v>
      </c>
      <c r="G40" s="24">
        <v>45674</v>
      </c>
      <c r="H40" s="25">
        <f t="shared" ca="1" si="0"/>
        <v>291</v>
      </c>
      <c r="I40">
        <v>13645</v>
      </c>
      <c r="J40" t="e" vm="2">
        <v>#VALUE!</v>
      </c>
      <c r="K40" cm="1" vm="3">
        <f t="array" aca="1" ref="K40" ca="1">_FV(J40,"Población")</f>
        <v>215313498</v>
      </c>
    </row>
    <row r="41" spans="3:11" x14ac:dyDescent="0.35">
      <c r="C41" s="51"/>
      <c r="D41" t="s">
        <v>120</v>
      </c>
      <c r="E41" t="s">
        <v>425</v>
      </c>
      <c r="F41" t="s">
        <v>644</v>
      </c>
      <c r="G41" s="24">
        <v>45668</v>
      </c>
      <c r="H41" s="25">
        <f t="shared" ca="1" si="0"/>
        <v>297</v>
      </c>
      <c r="I41">
        <v>14017</v>
      </c>
      <c r="J41" t="e" vm="6">
        <v>#VALUE!</v>
      </c>
      <c r="K41" cm="1" vm="7">
        <f t="array" aca="1" ref="K41" ca="1">_FV(J41,"Población")</f>
        <v>46234830</v>
      </c>
    </row>
    <row r="42" spans="3:11" x14ac:dyDescent="0.35">
      <c r="C42" s="51"/>
      <c r="D42" t="s">
        <v>121</v>
      </c>
      <c r="E42" t="s">
        <v>425</v>
      </c>
      <c r="F42" t="s">
        <v>434</v>
      </c>
      <c r="G42" s="24">
        <v>45636</v>
      </c>
      <c r="H42" s="25">
        <f t="shared" ca="1" si="0"/>
        <v>329</v>
      </c>
      <c r="I42">
        <v>3229</v>
      </c>
      <c r="J42" t="e" vm="2">
        <v>#VALUE!</v>
      </c>
      <c r="K42" cm="1" vm="3">
        <f t="array" aca="1" ref="K42" ca="1">_FV(J42,"Población")</f>
        <v>215313498</v>
      </c>
    </row>
    <row r="43" spans="3:11" x14ac:dyDescent="0.35">
      <c r="C43" s="51"/>
      <c r="D43" t="s">
        <v>122</v>
      </c>
      <c r="E43" t="s">
        <v>305</v>
      </c>
      <c r="F43" t="s">
        <v>435</v>
      </c>
      <c r="G43" s="24">
        <v>45628</v>
      </c>
      <c r="H43" s="25">
        <f t="shared" ca="1" si="0"/>
        <v>337</v>
      </c>
      <c r="I43">
        <v>13654</v>
      </c>
      <c r="J43" t="e" vm="2">
        <v>#VALUE!</v>
      </c>
      <c r="K43" cm="1" vm="3">
        <f t="array" aca="1" ref="K43" ca="1">_FV(J43,"Población")</f>
        <v>215313498</v>
      </c>
    </row>
    <row r="44" spans="3:11" x14ac:dyDescent="0.35">
      <c r="C44" s="51"/>
      <c r="D44" t="s">
        <v>123</v>
      </c>
      <c r="E44" t="s">
        <v>350</v>
      </c>
      <c r="F44" t="s">
        <v>436</v>
      </c>
      <c r="G44" s="24">
        <v>45620</v>
      </c>
      <c r="H44" s="25">
        <f t="shared" ca="1" si="0"/>
        <v>345</v>
      </c>
      <c r="I44">
        <v>15893</v>
      </c>
      <c r="J44" t="e" vm="2">
        <v>#VALUE!</v>
      </c>
      <c r="K44" cm="1" vm="3">
        <f t="array" aca="1" ref="K44" ca="1">_FV(J44,"Población")</f>
        <v>215313498</v>
      </c>
    </row>
    <row r="45" spans="3:11" x14ac:dyDescent="0.35">
      <c r="C45" s="51"/>
      <c r="D45" t="s">
        <v>124</v>
      </c>
      <c r="E45" t="s">
        <v>127</v>
      </c>
      <c r="F45" t="s">
        <v>645</v>
      </c>
      <c r="G45" s="24">
        <v>45606</v>
      </c>
      <c r="H45" s="25">
        <f t="shared" ca="1" si="0"/>
        <v>359</v>
      </c>
      <c r="I45">
        <v>7333</v>
      </c>
      <c r="J45" t="e" vm="6">
        <v>#VALUE!</v>
      </c>
      <c r="K45" cm="1" vm="7">
        <f t="array" aca="1" ref="K45" ca="1">_FV(J45,"Población")</f>
        <v>46234830</v>
      </c>
    </row>
    <row r="46" spans="3:11" x14ac:dyDescent="0.35">
      <c r="C46" s="51"/>
      <c r="D46" t="s">
        <v>125</v>
      </c>
      <c r="E46" t="s">
        <v>361</v>
      </c>
      <c r="F46" t="s">
        <v>437</v>
      </c>
      <c r="G46" s="24">
        <v>45598</v>
      </c>
      <c r="H46" s="25">
        <f t="shared" ca="1" si="0"/>
        <v>367</v>
      </c>
      <c r="I46">
        <v>5222</v>
      </c>
      <c r="J46" t="e" vm="2">
        <v>#VALUE!</v>
      </c>
      <c r="K46" cm="1" vm="3">
        <f t="array" aca="1" ref="K46" ca="1">_FV(J46,"Población")</f>
        <v>215313498</v>
      </c>
    </row>
    <row r="47" spans="3:11" x14ac:dyDescent="0.35">
      <c r="C47" s="51"/>
      <c r="D47" t="s">
        <v>126</v>
      </c>
      <c r="E47" t="s">
        <v>127</v>
      </c>
      <c r="F47" t="s">
        <v>411</v>
      </c>
      <c r="G47" s="24">
        <v>45667</v>
      </c>
      <c r="H47" s="25">
        <f t="shared" ca="1" si="0"/>
        <v>298</v>
      </c>
      <c r="I47">
        <v>9372</v>
      </c>
      <c r="J47" t="e" vm="2">
        <v>#VALUE!</v>
      </c>
      <c r="K47" cm="1" vm="3">
        <f t="array" aca="1" ref="K47" ca="1">_FV(J47,"Población")</f>
        <v>215313498</v>
      </c>
    </row>
    <row r="48" spans="3:11" x14ac:dyDescent="0.35">
      <c r="C48" s="51"/>
      <c r="D48" t="s">
        <v>128</v>
      </c>
      <c r="E48" t="s">
        <v>350</v>
      </c>
      <c r="F48" t="s">
        <v>646</v>
      </c>
      <c r="G48" s="24">
        <v>45671</v>
      </c>
      <c r="H48" s="25">
        <f t="shared" ca="1" si="0"/>
        <v>294</v>
      </c>
      <c r="I48">
        <v>10322</v>
      </c>
      <c r="J48" t="e" vm="6">
        <v>#VALUE!</v>
      </c>
      <c r="K48" cm="1" vm="7">
        <f t="array" aca="1" ref="K48" ca="1">_FV(J48,"Población")</f>
        <v>46234830</v>
      </c>
    </row>
    <row r="49" spans="3:11" x14ac:dyDescent="0.35">
      <c r="C49" s="51"/>
      <c r="D49" t="s">
        <v>129</v>
      </c>
      <c r="E49" t="s">
        <v>81</v>
      </c>
      <c r="F49" t="s">
        <v>647</v>
      </c>
      <c r="G49" s="24">
        <v>45633</v>
      </c>
      <c r="H49" s="25">
        <f t="shared" ca="1" si="0"/>
        <v>332</v>
      </c>
      <c r="I49">
        <v>11382</v>
      </c>
      <c r="J49" t="e" vm="6">
        <v>#VALUE!</v>
      </c>
      <c r="K49" cm="1" vm="7">
        <f t="array" aca="1" ref="K49" ca="1">_FV(J49,"Población")</f>
        <v>46234830</v>
      </c>
    </row>
    <row r="50" spans="3:11" x14ac:dyDescent="0.35">
      <c r="C50" s="51"/>
      <c r="D50" t="s">
        <v>130</v>
      </c>
      <c r="E50" t="s">
        <v>110</v>
      </c>
      <c r="F50" t="s">
        <v>547</v>
      </c>
      <c r="G50" s="24">
        <v>45664</v>
      </c>
      <c r="H50" s="25">
        <f t="shared" ca="1" si="0"/>
        <v>301</v>
      </c>
      <c r="I50">
        <v>12591</v>
      </c>
      <c r="J50" t="e" vm="4">
        <v>#VALUE!</v>
      </c>
      <c r="K50" cm="1" vm="5">
        <f t="array" aca="1" ref="K50" ca="1">_FV(J50,"Población")</f>
        <v>1412175000</v>
      </c>
    </row>
    <row r="51" spans="3:11" x14ac:dyDescent="0.35">
      <c r="C51" s="51"/>
      <c r="D51" t="s">
        <v>131</v>
      </c>
      <c r="E51" t="s">
        <v>110</v>
      </c>
      <c r="F51" t="s">
        <v>548</v>
      </c>
      <c r="G51" s="24">
        <v>45661</v>
      </c>
      <c r="H51" s="25">
        <f t="shared" ca="1" si="0"/>
        <v>304</v>
      </c>
      <c r="I51">
        <v>9882</v>
      </c>
      <c r="J51" t="e" vm="4">
        <v>#VALUE!</v>
      </c>
      <c r="K51" cm="1" vm="5">
        <f t="array" aca="1" ref="K51" ca="1">_FV(J51,"Población")</f>
        <v>1412175000</v>
      </c>
    </row>
    <row r="52" spans="3:11" x14ac:dyDescent="0.35">
      <c r="C52" s="51"/>
      <c r="D52" t="s">
        <v>132</v>
      </c>
      <c r="E52" t="s">
        <v>350</v>
      </c>
      <c r="F52" t="s">
        <v>648</v>
      </c>
      <c r="G52" s="24">
        <v>45613</v>
      </c>
      <c r="H52" s="25">
        <f t="shared" ca="1" si="0"/>
        <v>352</v>
      </c>
      <c r="I52">
        <v>7292</v>
      </c>
      <c r="J52" t="e" vm="6">
        <v>#VALUE!</v>
      </c>
      <c r="K52" cm="1" vm="7">
        <f t="array" aca="1" ref="K52" ca="1">_FV(J52,"Población")</f>
        <v>46234830</v>
      </c>
    </row>
    <row r="53" spans="3:11" x14ac:dyDescent="0.35">
      <c r="C53" s="51"/>
      <c r="D53" t="s">
        <v>133</v>
      </c>
      <c r="E53" t="s">
        <v>110</v>
      </c>
      <c r="F53" t="s">
        <v>649</v>
      </c>
      <c r="G53" s="24">
        <v>45620</v>
      </c>
      <c r="H53" s="25">
        <f t="shared" ca="1" si="0"/>
        <v>345</v>
      </c>
      <c r="I53">
        <v>4172</v>
      </c>
      <c r="J53" t="e" vm="6">
        <v>#VALUE!</v>
      </c>
      <c r="K53" cm="1" vm="7">
        <f t="array" aca="1" ref="K53" ca="1">_FV(J53,"Población")</f>
        <v>46234830</v>
      </c>
    </row>
    <row r="54" spans="3:11" x14ac:dyDescent="0.35">
      <c r="C54" s="51"/>
      <c r="D54" t="s">
        <v>134</v>
      </c>
      <c r="E54" t="s">
        <v>350</v>
      </c>
      <c r="F54" t="s">
        <v>438</v>
      </c>
      <c r="G54" s="24">
        <v>45626</v>
      </c>
      <c r="H54" s="25">
        <f t="shared" ca="1" si="0"/>
        <v>339</v>
      </c>
      <c r="I54">
        <v>2943</v>
      </c>
      <c r="J54" t="e" vm="2">
        <v>#VALUE!</v>
      </c>
      <c r="K54" cm="1" vm="3">
        <f t="array" aca="1" ref="K54" ca="1">_FV(J54,"Población")</f>
        <v>215313498</v>
      </c>
    </row>
    <row r="55" spans="3:11" x14ac:dyDescent="0.35">
      <c r="C55" s="51"/>
      <c r="D55" t="s">
        <v>135</v>
      </c>
      <c r="E55" t="s">
        <v>127</v>
      </c>
      <c r="F55" t="s">
        <v>650</v>
      </c>
      <c r="G55" s="24">
        <v>45681</v>
      </c>
      <c r="H55" s="25">
        <f t="shared" ca="1" si="0"/>
        <v>284</v>
      </c>
      <c r="I55">
        <v>13460</v>
      </c>
      <c r="J55" t="e" vm="6">
        <v>#VALUE!</v>
      </c>
      <c r="K55" cm="1" vm="7">
        <f t="array" aca="1" ref="K55" ca="1">_FV(J55,"Población")</f>
        <v>46234830</v>
      </c>
    </row>
    <row r="56" spans="3:11" x14ac:dyDescent="0.35">
      <c r="C56" s="51"/>
      <c r="D56" t="s">
        <v>136</v>
      </c>
      <c r="E56" t="s">
        <v>305</v>
      </c>
      <c r="F56" t="s">
        <v>651</v>
      </c>
      <c r="G56" s="24">
        <v>45643</v>
      </c>
      <c r="H56" s="25">
        <f t="shared" ca="1" si="0"/>
        <v>322</v>
      </c>
      <c r="I56">
        <v>16662</v>
      </c>
      <c r="J56" t="e" vm="6">
        <v>#VALUE!</v>
      </c>
      <c r="K56" cm="1" vm="7">
        <f t="array" aca="1" ref="K56" ca="1">_FV(J56,"Población")</f>
        <v>46234830</v>
      </c>
    </row>
    <row r="57" spans="3:11" x14ac:dyDescent="0.35">
      <c r="C57" s="51"/>
      <c r="D57" t="s">
        <v>137</v>
      </c>
      <c r="E57" t="s">
        <v>350</v>
      </c>
      <c r="F57" t="s">
        <v>549</v>
      </c>
      <c r="G57" s="24">
        <v>45626</v>
      </c>
      <c r="H57" s="25">
        <f t="shared" ca="1" si="0"/>
        <v>339</v>
      </c>
      <c r="I57">
        <v>2665</v>
      </c>
      <c r="J57" t="e" vm="4">
        <v>#VALUE!</v>
      </c>
      <c r="K57" cm="1" vm="5">
        <f t="array" aca="1" ref="K57" ca="1">_FV(J57,"Población")</f>
        <v>1412175000</v>
      </c>
    </row>
    <row r="58" spans="3:11" x14ac:dyDescent="0.35">
      <c r="C58" s="51"/>
      <c r="D58" t="s">
        <v>138</v>
      </c>
      <c r="E58" t="s">
        <v>81</v>
      </c>
      <c r="F58" t="s">
        <v>439</v>
      </c>
      <c r="G58" s="24">
        <v>45608</v>
      </c>
      <c r="H58" s="25">
        <f t="shared" ca="1" si="0"/>
        <v>357</v>
      </c>
      <c r="I58">
        <v>5027</v>
      </c>
      <c r="J58" t="e" vm="2">
        <v>#VALUE!</v>
      </c>
      <c r="K58" cm="1" vm="3">
        <f t="array" aca="1" ref="K58" ca="1">_FV(J58,"Población")</f>
        <v>215313498</v>
      </c>
    </row>
    <row r="59" spans="3:11" x14ac:dyDescent="0.35">
      <c r="C59" s="51"/>
      <c r="D59" t="s">
        <v>139</v>
      </c>
      <c r="E59" t="s">
        <v>305</v>
      </c>
      <c r="F59" t="s">
        <v>440</v>
      </c>
      <c r="G59" s="24">
        <v>45671</v>
      </c>
      <c r="H59" s="25">
        <f t="shared" ca="1" si="0"/>
        <v>294</v>
      </c>
      <c r="I59">
        <v>5438</v>
      </c>
      <c r="J59" t="e" vm="2">
        <v>#VALUE!</v>
      </c>
      <c r="K59" cm="1" vm="3">
        <f t="array" aca="1" ref="K59" ca="1">_FV(J59,"Población")</f>
        <v>215313498</v>
      </c>
    </row>
    <row r="60" spans="3:11" x14ac:dyDescent="0.35">
      <c r="C60" s="51"/>
      <c r="D60" t="s">
        <v>140</v>
      </c>
      <c r="E60" t="s">
        <v>361</v>
      </c>
      <c r="F60" t="s">
        <v>652</v>
      </c>
      <c r="G60" s="24">
        <v>45601</v>
      </c>
      <c r="H60" s="25">
        <f t="shared" ca="1" si="0"/>
        <v>364</v>
      </c>
      <c r="I60">
        <v>1373</v>
      </c>
      <c r="J60" t="e" vm="6">
        <v>#VALUE!</v>
      </c>
      <c r="K60" cm="1" vm="7">
        <f t="array" aca="1" ref="K60" ca="1">_FV(J60,"Población")</f>
        <v>46234830</v>
      </c>
    </row>
    <row r="61" spans="3:11" x14ac:dyDescent="0.35">
      <c r="C61" s="51"/>
      <c r="D61" t="s">
        <v>141</v>
      </c>
      <c r="E61" t="s">
        <v>350</v>
      </c>
      <c r="F61" t="s">
        <v>441</v>
      </c>
      <c r="G61" s="24">
        <v>45687</v>
      </c>
      <c r="H61" s="25">
        <f t="shared" ca="1" si="0"/>
        <v>278</v>
      </c>
      <c r="I61">
        <v>12687</v>
      </c>
      <c r="J61" t="e" vm="2">
        <v>#VALUE!</v>
      </c>
      <c r="K61" cm="1" vm="3">
        <f t="array" aca="1" ref="K61" ca="1">_FV(J61,"Población")</f>
        <v>215313498</v>
      </c>
    </row>
    <row r="62" spans="3:11" x14ac:dyDescent="0.35">
      <c r="C62" s="51"/>
      <c r="D62" t="s">
        <v>142</v>
      </c>
      <c r="E62" t="s">
        <v>110</v>
      </c>
      <c r="F62" t="s">
        <v>550</v>
      </c>
      <c r="G62" s="24">
        <v>45603</v>
      </c>
      <c r="H62" s="25">
        <f t="shared" ca="1" si="0"/>
        <v>362</v>
      </c>
      <c r="I62">
        <v>8356</v>
      </c>
      <c r="J62" t="e" vm="4">
        <v>#VALUE!</v>
      </c>
      <c r="K62" cm="1" vm="5">
        <f t="array" aca="1" ref="K62" ca="1">_FV(J62,"Población")</f>
        <v>1412175000</v>
      </c>
    </row>
    <row r="63" spans="3:11" x14ac:dyDescent="0.35">
      <c r="C63" s="51"/>
      <c r="D63" t="s">
        <v>143</v>
      </c>
      <c r="E63" t="s">
        <v>110</v>
      </c>
      <c r="F63" t="s">
        <v>653</v>
      </c>
      <c r="G63" s="24">
        <v>45620</v>
      </c>
      <c r="H63" s="25">
        <f t="shared" ca="1" si="0"/>
        <v>345</v>
      </c>
      <c r="I63">
        <v>19525</v>
      </c>
      <c r="J63" t="e" vm="6">
        <v>#VALUE!</v>
      </c>
      <c r="K63" cm="1" vm="7">
        <f t="array" aca="1" ref="K63" ca="1">_FV(J63,"Población")</f>
        <v>46234830</v>
      </c>
    </row>
    <row r="64" spans="3:11" x14ac:dyDescent="0.35">
      <c r="C64" s="51"/>
      <c r="D64" t="s">
        <v>144</v>
      </c>
      <c r="E64" t="s">
        <v>81</v>
      </c>
      <c r="F64" t="s">
        <v>551</v>
      </c>
      <c r="G64" s="24">
        <v>45681</v>
      </c>
      <c r="H64" s="25">
        <f t="shared" ca="1" si="0"/>
        <v>284</v>
      </c>
      <c r="I64">
        <v>6406</v>
      </c>
      <c r="J64" t="e" vm="4">
        <v>#VALUE!</v>
      </c>
      <c r="K64" cm="1" vm="5">
        <f t="array" aca="1" ref="K64" ca="1">_FV(J64,"Población")</f>
        <v>1412175000</v>
      </c>
    </row>
    <row r="65" spans="3:11" x14ac:dyDescent="0.35">
      <c r="C65" s="51"/>
      <c r="D65" t="s">
        <v>145</v>
      </c>
      <c r="E65" t="s">
        <v>305</v>
      </c>
      <c r="F65" t="s">
        <v>552</v>
      </c>
      <c r="G65" s="24">
        <v>45606</v>
      </c>
      <c r="H65" s="25">
        <f t="shared" ca="1" si="0"/>
        <v>359</v>
      </c>
      <c r="I65">
        <v>15977</v>
      </c>
      <c r="J65" t="e" vm="4">
        <v>#VALUE!</v>
      </c>
      <c r="K65" cm="1" vm="5">
        <f t="array" aca="1" ref="K65" ca="1">_FV(J65,"Población")</f>
        <v>1412175000</v>
      </c>
    </row>
    <row r="66" spans="3:11" x14ac:dyDescent="0.35">
      <c r="C66" s="51"/>
      <c r="D66" t="s">
        <v>146</v>
      </c>
      <c r="E66" t="s">
        <v>425</v>
      </c>
      <c r="F66" t="s">
        <v>442</v>
      </c>
      <c r="G66" s="24">
        <v>45614</v>
      </c>
      <c r="H66" s="25">
        <f t="shared" ca="1" si="0"/>
        <v>351</v>
      </c>
      <c r="I66">
        <v>3228</v>
      </c>
      <c r="J66" t="e" vm="2">
        <v>#VALUE!</v>
      </c>
      <c r="K66" cm="1" vm="3">
        <f t="array" aca="1" ref="K66" ca="1">_FV(J66,"Población")</f>
        <v>215313498</v>
      </c>
    </row>
    <row r="67" spans="3:11" x14ac:dyDescent="0.35">
      <c r="C67" s="51"/>
      <c r="D67" t="s">
        <v>147</v>
      </c>
      <c r="E67" t="s">
        <v>350</v>
      </c>
      <c r="F67" t="s">
        <v>553</v>
      </c>
      <c r="G67" s="24">
        <v>45600</v>
      </c>
      <c r="H67" s="25">
        <f t="shared" ca="1" si="0"/>
        <v>365</v>
      </c>
      <c r="I67">
        <v>11606</v>
      </c>
      <c r="J67" t="e" vm="4">
        <v>#VALUE!</v>
      </c>
      <c r="K67" cm="1" vm="5">
        <f t="array" aca="1" ref="K67" ca="1">_FV(J67,"Población")</f>
        <v>1412175000</v>
      </c>
    </row>
    <row r="68" spans="3:11" x14ac:dyDescent="0.35">
      <c r="C68" s="51"/>
      <c r="D68" t="s">
        <v>148</v>
      </c>
      <c r="E68" t="s">
        <v>127</v>
      </c>
      <c r="F68" t="s">
        <v>654</v>
      </c>
      <c r="G68" s="24">
        <v>45682</v>
      </c>
      <c r="H68" s="25">
        <f t="shared" ref="H68:H131" ca="1" si="1">TODAY()-G68</f>
        <v>283</v>
      </c>
      <c r="I68">
        <v>1421</v>
      </c>
      <c r="J68" t="e" vm="6">
        <v>#VALUE!</v>
      </c>
      <c r="K68" cm="1" vm="7">
        <f t="array" aca="1" ref="K68" ca="1">_FV(J68,"Población")</f>
        <v>46234830</v>
      </c>
    </row>
    <row r="69" spans="3:11" x14ac:dyDescent="0.35">
      <c r="C69" s="51"/>
      <c r="D69" t="s">
        <v>149</v>
      </c>
      <c r="E69" t="s">
        <v>305</v>
      </c>
      <c r="F69" t="s">
        <v>443</v>
      </c>
      <c r="G69" s="24">
        <v>45610</v>
      </c>
      <c r="H69" s="25">
        <f t="shared" ca="1" si="1"/>
        <v>355</v>
      </c>
      <c r="I69">
        <v>13641</v>
      </c>
      <c r="J69" t="e" vm="2">
        <v>#VALUE!</v>
      </c>
      <c r="K69" cm="1" vm="3">
        <f t="array" aca="1" ref="K69" ca="1">_FV(J69,"Población")</f>
        <v>215313498</v>
      </c>
    </row>
    <row r="70" spans="3:11" x14ac:dyDescent="0.35">
      <c r="C70" s="51"/>
      <c r="D70" t="s">
        <v>150</v>
      </c>
      <c r="E70" t="s">
        <v>361</v>
      </c>
      <c r="F70" t="s">
        <v>444</v>
      </c>
      <c r="G70" s="24">
        <v>45622</v>
      </c>
      <c r="H70" s="25">
        <f t="shared" ca="1" si="1"/>
        <v>343</v>
      </c>
      <c r="I70">
        <v>4206</v>
      </c>
      <c r="J70" t="e" vm="2">
        <v>#VALUE!</v>
      </c>
      <c r="K70" cm="1" vm="3">
        <f t="array" aca="1" ref="K70" ca="1">_FV(J70,"Población")</f>
        <v>215313498</v>
      </c>
    </row>
    <row r="71" spans="3:11" x14ac:dyDescent="0.35">
      <c r="C71" s="51"/>
      <c r="D71" t="s">
        <v>151</v>
      </c>
      <c r="E71" t="s">
        <v>110</v>
      </c>
      <c r="F71" t="s">
        <v>655</v>
      </c>
      <c r="G71" s="24">
        <v>45628</v>
      </c>
      <c r="H71" s="25">
        <f t="shared" ca="1" si="1"/>
        <v>337</v>
      </c>
      <c r="I71">
        <v>8916</v>
      </c>
      <c r="J71" t="e" vm="6">
        <v>#VALUE!</v>
      </c>
      <c r="K71" cm="1" vm="7">
        <f t="array" aca="1" ref="K71" ca="1">_FV(J71,"Población")</f>
        <v>46234830</v>
      </c>
    </row>
    <row r="72" spans="3:11" x14ac:dyDescent="0.35">
      <c r="C72" s="51"/>
      <c r="D72" t="s">
        <v>152</v>
      </c>
      <c r="E72" t="s">
        <v>110</v>
      </c>
      <c r="F72" t="s">
        <v>445</v>
      </c>
      <c r="G72" s="24">
        <v>45633</v>
      </c>
      <c r="H72" s="25">
        <f t="shared" ca="1" si="1"/>
        <v>332</v>
      </c>
      <c r="I72">
        <v>10734</v>
      </c>
      <c r="J72" t="e" vm="2">
        <v>#VALUE!</v>
      </c>
      <c r="K72" cm="1" vm="3">
        <f t="array" aca="1" ref="K72" ca="1">_FV(J72,"Población")</f>
        <v>215313498</v>
      </c>
    </row>
    <row r="73" spans="3:11" x14ac:dyDescent="0.35">
      <c r="C73" s="51"/>
      <c r="D73" t="s">
        <v>153</v>
      </c>
      <c r="E73" t="s">
        <v>110</v>
      </c>
      <c r="F73" t="s">
        <v>446</v>
      </c>
      <c r="G73" s="24">
        <v>45665</v>
      </c>
      <c r="H73" s="25">
        <f t="shared" ca="1" si="1"/>
        <v>300</v>
      </c>
      <c r="I73">
        <v>6795</v>
      </c>
      <c r="J73" t="e" vm="2">
        <v>#VALUE!</v>
      </c>
      <c r="K73" cm="1" vm="3">
        <f t="array" aca="1" ref="K73" ca="1">_FV(J73,"Población")</f>
        <v>215313498</v>
      </c>
    </row>
    <row r="74" spans="3:11" x14ac:dyDescent="0.35">
      <c r="C74" s="51"/>
      <c r="D74" t="s">
        <v>154</v>
      </c>
      <c r="E74" t="s">
        <v>127</v>
      </c>
      <c r="F74" t="s">
        <v>554</v>
      </c>
      <c r="G74" s="24">
        <v>45598</v>
      </c>
      <c r="H74" s="25">
        <f t="shared" ca="1" si="1"/>
        <v>367</v>
      </c>
      <c r="I74">
        <v>15614</v>
      </c>
      <c r="J74" t="e" vm="4">
        <v>#VALUE!</v>
      </c>
      <c r="K74" cm="1" vm="5">
        <f t="array" aca="1" ref="K74" ca="1">_FV(J74,"Población")</f>
        <v>1412175000</v>
      </c>
    </row>
    <row r="75" spans="3:11" x14ac:dyDescent="0.35">
      <c r="C75" s="51"/>
      <c r="D75" t="s">
        <v>155</v>
      </c>
      <c r="E75" t="s">
        <v>305</v>
      </c>
      <c r="F75" t="s">
        <v>555</v>
      </c>
      <c r="G75" s="24">
        <v>45646</v>
      </c>
      <c r="H75" s="25">
        <f t="shared" ca="1" si="1"/>
        <v>319</v>
      </c>
      <c r="I75">
        <v>1017</v>
      </c>
      <c r="J75" t="e" vm="4">
        <v>#VALUE!</v>
      </c>
      <c r="K75" cm="1" vm="5">
        <f t="array" aca="1" ref="K75" ca="1">_FV(J75,"Población")</f>
        <v>1412175000</v>
      </c>
    </row>
    <row r="76" spans="3:11" x14ac:dyDescent="0.35">
      <c r="C76" s="51"/>
      <c r="D76" t="s">
        <v>156</v>
      </c>
      <c r="E76" t="s">
        <v>425</v>
      </c>
      <c r="F76" t="s">
        <v>556</v>
      </c>
      <c r="G76" s="24">
        <v>45640</v>
      </c>
      <c r="H76" s="25">
        <f t="shared" ca="1" si="1"/>
        <v>325</v>
      </c>
      <c r="I76">
        <v>17339</v>
      </c>
      <c r="J76" t="e" vm="4">
        <v>#VALUE!</v>
      </c>
      <c r="K76" cm="1" vm="5">
        <f t="array" aca="1" ref="K76" ca="1">_FV(J76,"Población")</f>
        <v>1412175000</v>
      </c>
    </row>
    <row r="77" spans="3:11" x14ac:dyDescent="0.35">
      <c r="C77" s="51"/>
      <c r="D77" t="s">
        <v>157</v>
      </c>
      <c r="E77" t="s">
        <v>110</v>
      </c>
      <c r="F77" t="s">
        <v>557</v>
      </c>
      <c r="G77" s="24">
        <v>45640</v>
      </c>
      <c r="H77" s="25">
        <f t="shared" ca="1" si="1"/>
        <v>325</v>
      </c>
      <c r="I77">
        <v>17939</v>
      </c>
      <c r="J77" t="e" vm="4">
        <v>#VALUE!</v>
      </c>
      <c r="K77" cm="1" vm="5">
        <f t="array" aca="1" ref="K77" ca="1">_FV(J77,"Población")</f>
        <v>1412175000</v>
      </c>
    </row>
    <row r="78" spans="3:11" x14ac:dyDescent="0.35">
      <c r="C78" s="51"/>
      <c r="D78" t="s">
        <v>158</v>
      </c>
      <c r="E78" t="s">
        <v>127</v>
      </c>
      <c r="F78" t="s">
        <v>447</v>
      </c>
      <c r="G78" s="24">
        <v>45642</v>
      </c>
      <c r="H78" s="25">
        <f t="shared" ca="1" si="1"/>
        <v>323</v>
      </c>
      <c r="I78">
        <v>4292</v>
      </c>
      <c r="J78" t="e" vm="2">
        <v>#VALUE!</v>
      </c>
      <c r="K78" cm="1" vm="3">
        <f t="array" aca="1" ref="K78" ca="1">_FV(J78,"Población")</f>
        <v>215313498</v>
      </c>
    </row>
    <row r="79" spans="3:11" x14ac:dyDescent="0.35">
      <c r="C79" s="51"/>
      <c r="D79" t="s">
        <v>159</v>
      </c>
      <c r="E79" t="s">
        <v>425</v>
      </c>
      <c r="F79" t="s">
        <v>448</v>
      </c>
      <c r="G79" s="24">
        <v>45606</v>
      </c>
      <c r="H79" s="25">
        <f t="shared" ca="1" si="1"/>
        <v>359</v>
      </c>
      <c r="I79">
        <v>8975</v>
      </c>
      <c r="J79" t="e" vm="2">
        <v>#VALUE!</v>
      </c>
      <c r="K79" cm="1" vm="3">
        <f t="array" aca="1" ref="K79" ca="1">_FV(J79,"Población")</f>
        <v>215313498</v>
      </c>
    </row>
    <row r="80" spans="3:11" x14ac:dyDescent="0.35">
      <c r="C80" s="51"/>
      <c r="D80" t="s">
        <v>160</v>
      </c>
      <c r="E80" t="s">
        <v>425</v>
      </c>
      <c r="F80" t="s">
        <v>558</v>
      </c>
      <c r="G80" s="24">
        <v>45615</v>
      </c>
      <c r="H80" s="25">
        <f t="shared" ca="1" si="1"/>
        <v>350</v>
      </c>
      <c r="I80">
        <v>18397</v>
      </c>
      <c r="J80" t="e" vm="4">
        <v>#VALUE!</v>
      </c>
      <c r="K80" cm="1" vm="5">
        <f t="array" aca="1" ref="K80" ca="1">_FV(J80,"Población")</f>
        <v>1412175000</v>
      </c>
    </row>
    <row r="81" spans="3:11" x14ac:dyDescent="0.35">
      <c r="C81" s="51"/>
      <c r="D81" t="s">
        <v>161</v>
      </c>
      <c r="E81" t="s">
        <v>127</v>
      </c>
      <c r="F81" t="s">
        <v>656</v>
      </c>
      <c r="G81" s="24">
        <v>45603</v>
      </c>
      <c r="H81" s="25">
        <f t="shared" ca="1" si="1"/>
        <v>362</v>
      </c>
      <c r="I81">
        <v>16951</v>
      </c>
      <c r="J81" t="e" vm="6">
        <v>#VALUE!</v>
      </c>
      <c r="K81" cm="1" vm="7">
        <f t="array" aca="1" ref="K81" ca="1">_FV(J81,"Población")</f>
        <v>46234830</v>
      </c>
    </row>
    <row r="82" spans="3:11" x14ac:dyDescent="0.35">
      <c r="C82" s="51"/>
      <c r="D82" t="s">
        <v>162</v>
      </c>
      <c r="E82" t="s">
        <v>350</v>
      </c>
      <c r="F82" t="s">
        <v>657</v>
      </c>
      <c r="G82" s="24">
        <v>45675</v>
      </c>
      <c r="H82" s="25">
        <f t="shared" ca="1" si="1"/>
        <v>290</v>
      </c>
      <c r="I82">
        <v>9083</v>
      </c>
      <c r="J82" t="e" vm="6">
        <v>#VALUE!</v>
      </c>
      <c r="K82" cm="1" vm="7">
        <f t="array" aca="1" ref="K82" ca="1">_FV(J82,"Población")</f>
        <v>46234830</v>
      </c>
    </row>
    <row r="83" spans="3:11" x14ac:dyDescent="0.35">
      <c r="C83" s="51"/>
      <c r="D83" t="s">
        <v>163</v>
      </c>
      <c r="E83" t="s">
        <v>110</v>
      </c>
      <c r="F83" t="s">
        <v>658</v>
      </c>
      <c r="G83" s="24">
        <v>45653</v>
      </c>
      <c r="H83" s="25">
        <f t="shared" ca="1" si="1"/>
        <v>312</v>
      </c>
      <c r="I83">
        <v>2891</v>
      </c>
      <c r="J83" t="e" vm="6">
        <v>#VALUE!</v>
      </c>
      <c r="K83" cm="1" vm="7">
        <f t="array" aca="1" ref="K83" ca="1">_FV(J83,"Población")</f>
        <v>46234830</v>
      </c>
    </row>
    <row r="84" spans="3:11" x14ac:dyDescent="0.35">
      <c r="C84" s="51"/>
      <c r="D84" t="s">
        <v>164</v>
      </c>
      <c r="E84" t="s">
        <v>81</v>
      </c>
      <c r="F84" t="s">
        <v>559</v>
      </c>
      <c r="G84" s="24">
        <v>45666</v>
      </c>
      <c r="H84" s="25">
        <f t="shared" ca="1" si="1"/>
        <v>299</v>
      </c>
      <c r="I84">
        <v>3912</v>
      </c>
      <c r="J84" t="e" vm="4">
        <v>#VALUE!</v>
      </c>
      <c r="K84" cm="1" vm="5">
        <f t="array" aca="1" ref="K84" ca="1">_FV(J84,"Población")</f>
        <v>1412175000</v>
      </c>
    </row>
    <row r="85" spans="3:11" x14ac:dyDescent="0.35">
      <c r="C85" s="51"/>
      <c r="D85" t="s">
        <v>165</v>
      </c>
      <c r="E85" t="s">
        <v>350</v>
      </c>
      <c r="F85" t="s">
        <v>449</v>
      </c>
      <c r="G85" s="24">
        <v>45597</v>
      </c>
      <c r="H85" s="25">
        <f t="shared" ca="1" si="1"/>
        <v>368</v>
      </c>
      <c r="I85">
        <v>16032</v>
      </c>
      <c r="J85" t="e" vm="2">
        <v>#VALUE!</v>
      </c>
      <c r="K85" cm="1" vm="3">
        <f t="array" aca="1" ref="K85" ca="1">_FV(J85,"Población")</f>
        <v>215313498</v>
      </c>
    </row>
    <row r="86" spans="3:11" x14ac:dyDescent="0.35">
      <c r="C86" s="51"/>
      <c r="D86" t="s">
        <v>166</v>
      </c>
      <c r="E86" t="s">
        <v>127</v>
      </c>
      <c r="F86" t="s">
        <v>450</v>
      </c>
      <c r="G86" s="24">
        <v>45641</v>
      </c>
      <c r="H86" s="25">
        <f t="shared" ca="1" si="1"/>
        <v>324</v>
      </c>
      <c r="I86">
        <v>9773</v>
      </c>
      <c r="J86" t="e" vm="2">
        <v>#VALUE!</v>
      </c>
      <c r="K86" cm="1" vm="3">
        <f t="array" aca="1" ref="K86" ca="1">_FV(J86,"Población")</f>
        <v>215313498</v>
      </c>
    </row>
    <row r="87" spans="3:11" x14ac:dyDescent="0.35">
      <c r="C87" s="51"/>
      <c r="D87" t="s">
        <v>167</v>
      </c>
      <c r="E87" t="s">
        <v>361</v>
      </c>
      <c r="F87" t="s">
        <v>560</v>
      </c>
      <c r="G87" s="24">
        <v>45599</v>
      </c>
      <c r="H87" s="25">
        <f t="shared" ca="1" si="1"/>
        <v>366</v>
      </c>
      <c r="I87">
        <v>12734</v>
      </c>
      <c r="J87" t="e" vm="4">
        <v>#VALUE!</v>
      </c>
      <c r="K87" cm="1" vm="5">
        <f t="array" aca="1" ref="K87" ca="1">_FV(J87,"Población")</f>
        <v>1412175000</v>
      </c>
    </row>
    <row r="88" spans="3:11" x14ac:dyDescent="0.35">
      <c r="C88" s="51"/>
      <c r="D88" t="s">
        <v>168</v>
      </c>
      <c r="E88" t="s">
        <v>425</v>
      </c>
      <c r="F88" t="s">
        <v>451</v>
      </c>
      <c r="G88" s="24">
        <v>45662</v>
      </c>
      <c r="H88" s="25">
        <f t="shared" ca="1" si="1"/>
        <v>303</v>
      </c>
      <c r="I88">
        <v>5561</v>
      </c>
      <c r="J88" t="e" vm="2">
        <v>#VALUE!</v>
      </c>
      <c r="K88" cm="1" vm="3">
        <f t="array" aca="1" ref="K88" ca="1">_FV(J88,"Población")</f>
        <v>215313498</v>
      </c>
    </row>
    <row r="89" spans="3:11" x14ac:dyDescent="0.35">
      <c r="C89" s="51"/>
      <c r="D89" t="s">
        <v>169</v>
      </c>
      <c r="E89" t="s">
        <v>305</v>
      </c>
      <c r="F89" t="s">
        <v>659</v>
      </c>
      <c r="G89" s="24">
        <v>45676</v>
      </c>
      <c r="H89" s="25">
        <f t="shared" ca="1" si="1"/>
        <v>289</v>
      </c>
      <c r="I89">
        <v>3590</v>
      </c>
      <c r="J89" t="e" vm="6">
        <v>#VALUE!</v>
      </c>
      <c r="K89" cm="1" vm="7">
        <f t="array" aca="1" ref="K89" ca="1">_FV(J89,"Población")</f>
        <v>46234830</v>
      </c>
    </row>
    <row r="90" spans="3:11" x14ac:dyDescent="0.35">
      <c r="C90" s="51"/>
      <c r="D90" t="s">
        <v>170</v>
      </c>
      <c r="E90" t="s">
        <v>305</v>
      </c>
      <c r="F90" t="s">
        <v>561</v>
      </c>
      <c r="G90" s="24">
        <v>45656</v>
      </c>
      <c r="H90" s="25">
        <f t="shared" ca="1" si="1"/>
        <v>309</v>
      </c>
      <c r="I90">
        <v>13155</v>
      </c>
      <c r="J90" t="e" vm="4">
        <v>#VALUE!</v>
      </c>
      <c r="K90" cm="1" vm="5">
        <f t="array" aca="1" ref="K90" ca="1">_FV(J90,"Población")</f>
        <v>1412175000</v>
      </c>
    </row>
    <row r="91" spans="3:11" x14ac:dyDescent="0.35">
      <c r="C91" s="51"/>
      <c r="D91" t="s">
        <v>171</v>
      </c>
      <c r="E91" t="s">
        <v>110</v>
      </c>
      <c r="F91" t="s">
        <v>562</v>
      </c>
      <c r="G91" s="24">
        <v>45650</v>
      </c>
      <c r="H91" s="25">
        <f t="shared" ca="1" si="1"/>
        <v>315</v>
      </c>
      <c r="I91">
        <v>18016</v>
      </c>
      <c r="J91" t="e" vm="4">
        <v>#VALUE!</v>
      </c>
      <c r="K91" cm="1" vm="5">
        <f t="array" aca="1" ref="K91" ca="1">_FV(J91,"Población")</f>
        <v>1412175000</v>
      </c>
    </row>
    <row r="92" spans="3:11" x14ac:dyDescent="0.35">
      <c r="C92" s="51"/>
      <c r="D92" t="s">
        <v>172</v>
      </c>
      <c r="E92" t="s">
        <v>350</v>
      </c>
      <c r="F92" t="s">
        <v>452</v>
      </c>
      <c r="G92" s="24">
        <v>45634</v>
      </c>
      <c r="H92" s="25">
        <f t="shared" ca="1" si="1"/>
        <v>331</v>
      </c>
      <c r="I92">
        <v>19192</v>
      </c>
      <c r="J92" t="e" vm="2">
        <v>#VALUE!</v>
      </c>
      <c r="K92" cm="1" vm="3">
        <f t="array" aca="1" ref="K92" ca="1">_FV(J92,"Población")</f>
        <v>215313498</v>
      </c>
    </row>
    <row r="93" spans="3:11" x14ac:dyDescent="0.35">
      <c r="C93" s="51"/>
      <c r="D93" t="s">
        <v>173</v>
      </c>
      <c r="E93" t="s">
        <v>425</v>
      </c>
      <c r="F93" t="s">
        <v>453</v>
      </c>
      <c r="G93" s="24">
        <v>45599</v>
      </c>
      <c r="H93" s="25">
        <f t="shared" ca="1" si="1"/>
        <v>366</v>
      </c>
      <c r="I93">
        <v>16909</v>
      </c>
      <c r="J93" t="e" vm="2">
        <v>#VALUE!</v>
      </c>
      <c r="K93" cm="1" vm="3">
        <f t="array" aca="1" ref="K93" ca="1">_FV(J93,"Población")</f>
        <v>215313498</v>
      </c>
    </row>
    <row r="94" spans="3:11" x14ac:dyDescent="0.35">
      <c r="C94" s="51"/>
      <c r="D94" t="s">
        <v>174</v>
      </c>
      <c r="E94" t="s">
        <v>361</v>
      </c>
      <c r="F94" t="s">
        <v>660</v>
      </c>
      <c r="G94" s="24">
        <v>45663</v>
      </c>
      <c r="H94" s="25">
        <f t="shared" ca="1" si="1"/>
        <v>302</v>
      </c>
      <c r="I94">
        <v>14028</v>
      </c>
      <c r="J94" t="e" vm="6">
        <v>#VALUE!</v>
      </c>
      <c r="K94" cm="1" vm="7">
        <f t="array" aca="1" ref="K94" ca="1">_FV(J94,"Población")</f>
        <v>46234830</v>
      </c>
    </row>
    <row r="95" spans="3:11" x14ac:dyDescent="0.35">
      <c r="C95" s="51"/>
      <c r="D95" t="s">
        <v>175</v>
      </c>
      <c r="E95" t="s">
        <v>361</v>
      </c>
      <c r="F95" t="s">
        <v>661</v>
      </c>
      <c r="G95" s="24">
        <v>45640</v>
      </c>
      <c r="H95" s="25">
        <f t="shared" ca="1" si="1"/>
        <v>325</v>
      </c>
      <c r="I95">
        <v>6054</v>
      </c>
      <c r="J95" t="e" vm="6">
        <v>#VALUE!</v>
      </c>
      <c r="K95" cm="1" vm="7">
        <f t="array" aca="1" ref="K95" ca="1">_FV(J95,"Población")</f>
        <v>46234830</v>
      </c>
    </row>
    <row r="96" spans="3:11" x14ac:dyDescent="0.35">
      <c r="C96" s="51"/>
      <c r="D96" t="s">
        <v>176</v>
      </c>
      <c r="E96" t="s">
        <v>361</v>
      </c>
      <c r="F96" t="s">
        <v>563</v>
      </c>
      <c r="G96" s="24">
        <v>45682</v>
      </c>
      <c r="H96" s="25">
        <f t="shared" ca="1" si="1"/>
        <v>283</v>
      </c>
      <c r="I96">
        <v>15417</v>
      </c>
      <c r="J96" t="e" vm="4">
        <v>#VALUE!</v>
      </c>
      <c r="K96" cm="1" vm="5">
        <f t="array" aca="1" ref="K96" ca="1">_FV(J96,"Población")</f>
        <v>1412175000</v>
      </c>
    </row>
    <row r="97" spans="3:11" x14ac:dyDescent="0.35">
      <c r="C97" s="51"/>
      <c r="D97" t="s">
        <v>177</v>
      </c>
      <c r="E97" t="s">
        <v>361</v>
      </c>
      <c r="F97" t="s">
        <v>564</v>
      </c>
      <c r="G97" s="24">
        <v>45608</v>
      </c>
      <c r="H97" s="25">
        <f t="shared" ca="1" si="1"/>
        <v>357</v>
      </c>
      <c r="I97">
        <v>5773</v>
      </c>
      <c r="J97" t="e" vm="4">
        <v>#VALUE!</v>
      </c>
      <c r="K97" cm="1" vm="5">
        <f t="array" aca="1" ref="K97" ca="1">_FV(J97,"Población")</f>
        <v>1412175000</v>
      </c>
    </row>
    <row r="98" spans="3:11" x14ac:dyDescent="0.35">
      <c r="C98" s="51"/>
      <c r="D98" t="s">
        <v>178</v>
      </c>
      <c r="E98" t="s">
        <v>361</v>
      </c>
      <c r="F98" t="s">
        <v>454</v>
      </c>
      <c r="G98" s="24">
        <v>45661</v>
      </c>
      <c r="H98" s="25">
        <f t="shared" ca="1" si="1"/>
        <v>304</v>
      </c>
      <c r="I98">
        <v>6192</v>
      </c>
      <c r="J98" t="e" vm="2">
        <v>#VALUE!</v>
      </c>
      <c r="K98" cm="1" vm="3">
        <f t="array" aca="1" ref="K98" ca="1">_FV(J98,"Población")</f>
        <v>215313498</v>
      </c>
    </row>
    <row r="99" spans="3:11" x14ac:dyDescent="0.35">
      <c r="C99" s="51"/>
      <c r="D99" t="s">
        <v>179</v>
      </c>
      <c r="E99" t="s">
        <v>81</v>
      </c>
      <c r="F99" t="s">
        <v>565</v>
      </c>
      <c r="G99" s="24">
        <v>45658</v>
      </c>
      <c r="H99" s="25">
        <f t="shared" ca="1" si="1"/>
        <v>307</v>
      </c>
      <c r="I99">
        <v>10880</v>
      </c>
      <c r="J99" t="e" vm="4">
        <v>#VALUE!</v>
      </c>
      <c r="K99" cm="1" vm="5">
        <f t="array" aca="1" ref="K99" ca="1">_FV(J99,"Población")</f>
        <v>1412175000</v>
      </c>
    </row>
    <row r="100" spans="3:11" x14ac:dyDescent="0.35">
      <c r="C100" s="51"/>
      <c r="D100" t="s">
        <v>180</v>
      </c>
      <c r="E100" t="s">
        <v>361</v>
      </c>
      <c r="F100" t="s">
        <v>455</v>
      </c>
      <c r="G100" s="24">
        <v>45663</v>
      </c>
      <c r="H100" s="25">
        <f t="shared" ca="1" si="1"/>
        <v>302</v>
      </c>
      <c r="I100">
        <v>15466</v>
      </c>
      <c r="J100" t="e" vm="2">
        <v>#VALUE!</v>
      </c>
      <c r="K100" cm="1" vm="3">
        <f t="array" aca="1" ref="K100" ca="1">_FV(J100,"Población")</f>
        <v>215313498</v>
      </c>
    </row>
    <row r="101" spans="3:11" x14ac:dyDescent="0.35">
      <c r="C101" s="51"/>
      <c r="D101" t="s">
        <v>181</v>
      </c>
      <c r="E101" t="s">
        <v>305</v>
      </c>
      <c r="F101" t="s">
        <v>566</v>
      </c>
      <c r="G101" s="24">
        <v>45644</v>
      </c>
      <c r="H101" s="25">
        <f t="shared" ca="1" si="1"/>
        <v>321</v>
      </c>
      <c r="I101">
        <v>11611</v>
      </c>
      <c r="J101" t="e" vm="4">
        <v>#VALUE!</v>
      </c>
      <c r="K101" cm="1" vm="5">
        <f t="array" aca="1" ref="K101" ca="1">_FV(J101,"Población")</f>
        <v>1412175000</v>
      </c>
    </row>
    <row r="102" spans="3:11" x14ac:dyDescent="0.35">
      <c r="C102" s="51"/>
      <c r="D102" t="s">
        <v>182</v>
      </c>
      <c r="E102" t="s">
        <v>425</v>
      </c>
      <c r="F102" t="s">
        <v>456</v>
      </c>
      <c r="G102" s="24">
        <v>45673</v>
      </c>
      <c r="H102" s="25">
        <f t="shared" ca="1" si="1"/>
        <v>292</v>
      </c>
      <c r="I102">
        <v>3372</v>
      </c>
      <c r="J102" t="e" vm="2">
        <v>#VALUE!</v>
      </c>
      <c r="K102" cm="1" vm="3">
        <f t="array" aca="1" ref="K102" ca="1">_FV(J102,"Población")</f>
        <v>215313498</v>
      </c>
    </row>
    <row r="103" spans="3:11" x14ac:dyDescent="0.35">
      <c r="C103" s="51"/>
      <c r="D103" t="s">
        <v>183</v>
      </c>
      <c r="E103" t="s">
        <v>127</v>
      </c>
      <c r="F103" t="s">
        <v>567</v>
      </c>
      <c r="G103" s="24">
        <v>45638</v>
      </c>
      <c r="H103" s="25">
        <f t="shared" ca="1" si="1"/>
        <v>327</v>
      </c>
      <c r="I103">
        <v>15712</v>
      </c>
      <c r="J103" t="e" vm="4">
        <v>#VALUE!</v>
      </c>
      <c r="K103" cm="1" vm="5">
        <f t="array" aca="1" ref="K103" ca="1">_FV(J103,"Población")</f>
        <v>1412175000</v>
      </c>
    </row>
    <row r="104" spans="3:11" x14ac:dyDescent="0.35">
      <c r="C104" s="51"/>
      <c r="D104" t="s">
        <v>184</v>
      </c>
      <c r="E104" t="s">
        <v>361</v>
      </c>
      <c r="F104" t="s">
        <v>662</v>
      </c>
      <c r="G104" s="24">
        <v>45627</v>
      </c>
      <c r="H104" s="25">
        <f t="shared" ca="1" si="1"/>
        <v>338</v>
      </c>
      <c r="I104">
        <v>17454</v>
      </c>
      <c r="J104" t="e" vm="6">
        <v>#VALUE!</v>
      </c>
      <c r="K104" cm="1" vm="7">
        <f t="array" aca="1" ref="K104" ca="1">_FV(J104,"Población")</f>
        <v>46234830</v>
      </c>
    </row>
    <row r="105" spans="3:11" x14ac:dyDescent="0.35">
      <c r="C105" s="51"/>
      <c r="D105" t="s">
        <v>185</v>
      </c>
      <c r="E105" t="s">
        <v>110</v>
      </c>
      <c r="F105" t="s">
        <v>663</v>
      </c>
      <c r="G105" s="24">
        <v>45673</v>
      </c>
      <c r="H105" s="25">
        <f t="shared" ca="1" si="1"/>
        <v>292</v>
      </c>
      <c r="I105">
        <v>13980</v>
      </c>
      <c r="J105" t="e" vm="6">
        <v>#VALUE!</v>
      </c>
      <c r="K105" cm="1" vm="7">
        <f t="array" aca="1" ref="K105" ca="1">_FV(J105,"Población")</f>
        <v>46234830</v>
      </c>
    </row>
    <row r="106" spans="3:11" x14ac:dyDescent="0.35">
      <c r="C106" s="51"/>
      <c r="D106" t="s">
        <v>186</v>
      </c>
      <c r="E106" t="s">
        <v>110</v>
      </c>
      <c r="F106" t="s">
        <v>457</v>
      </c>
      <c r="G106" s="24">
        <v>45661</v>
      </c>
      <c r="H106" s="25">
        <f t="shared" ca="1" si="1"/>
        <v>304</v>
      </c>
      <c r="I106">
        <v>5588</v>
      </c>
      <c r="J106" t="e" vm="2">
        <v>#VALUE!</v>
      </c>
      <c r="K106" cm="1" vm="3">
        <f t="array" aca="1" ref="K106" ca="1">_FV(J106,"Población")</f>
        <v>215313498</v>
      </c>
    </row>
    <row r="107" spans="3:11" x14ac:dyDescent="0.35">
      <c r="C107" s="51"/>
      <c r="D107" t="s">
        <v>187</v>
      </c>
      <c r="E107" t="s">
        <v>361</v>
      </c>
      <c r="F107" t="s">
        <v>568</v>
      </c>
      <c r="G107" s="24">
        <v>45630</v>
      </c>
      <c r="H107" s="25">
        <f t="shared" ca="1" si="1"/>
        <v>335</v>
      </c>
      <c r="I107">
        <v>12010</v>
      </c>
      <c r="J107" t="e" vm="4">
        <v>#VALUE!</v>
      </c>
      <c r="K107" cm="1" vm="5">
        <f t="array" aca="1" ref="K107" ca="1">_FV(J107,"Población")</f>
        <v>1412175000</v>
      </c>
    </row>
    <row r="108" spans="3:11" x14ac:dyDescent="0.35">
      <c r="C108" s="51"/>
      <c r="D108" t="s">
        <v>188</v>
      </c>
      <c r="E108" t="s">
        <v>305</v>
      </c>
      <c r="F108" t="s">
        <v>664</v>
      </c>
      <c r="G108" s="24">
        <v>45665</v>
      </c>
      <c r="H108" s="25">
        <f t="shared" ca="1" si="1"/>
        <v>300</v>
      </c>
      <c r="I108">
        <v>14619</v>
      </c>
      <c r="J108" t="e" vm="6">
        <v>#VALUE!</v>
      </c>
      <c r="K108" cm="1" vm="7">
        <f t="array" aca="1" ref="K108" ca="1">_FV(J108,"Población")</f>
        <v>46234830</v>
      </c>
    </row>
    <row r="109" spans="3:11" x14ac:dyDescent="0.35">
      <c r="C109" s="51"/>
      <c r="D109" t="s">
        <v>189</v>
      </c>
      <c r="E109" t="s">
        <v>305</v>
      </c>
      <c r="F109" t="s">
        <v>458</v>
      </c>
      <c r="G109" s="24">
        <v>45650</v>
      </c>
      <c r="H109" s="25">
        <f t="shared" ca="1" si="1"/>
        <v>315</v>
      </c>
      <c r="I109">
        <v>2531</v>
      </c>
      <c r="J109" t="e" vm="2">
        <v>#VALUE!</v>
      </c>
      <c r="K109" cm="1" vm="3">
        <f t="array" aca="1" ref="K109" ca="1">_FV(J109,"Población")</f>
        <v>215313498</v>
      </c>
    </row>
    <row r="110" spans="3:11" x14ac:dyDescent="0.35">
      <c r="C110" s="51"/>
      <c r="D110" t="s">
        <v>190</v>
      </c>
      <c r="E110" t="s">
        <v>81</v>
      </c>
      <c r="F110" t="s">
        <v>665</v>
      </c>
      <c r="G110" s="24">
        <v>45641</v>
      </c>
      <c r="H110" s="25">
        <f t="shared" ca="1" si="1"/>
        <v>324</v>
      </c>
      <c r="I110">
        <v>7682</v>
      </c>
      <c r="J110" t="e" vm="6">
        <v>#VALUE!</v>
      </c>
      <c r="K110" cm="1" vm="7">
        <f t="array" aca="1" ref="K110" ca="1">_FV(J110,"Población")</f>
        <v>46234830</v>
      </c>
    </row>
    <row r="111" spans="3:11" x14ac:dyDescent="0.35">
      <c r="C111" s="51"/>
      <c r="D111" t="s">
        <v>191</v>
      </c>
      <c r="E111" t="s">
        <v>361</v>
      </c>
      <c r="F111" t="s">
        <v>666</v>
      </c>
      <c r="G111" s="24">
        <v>45687</v>
      </c>
      <c r="H111" s="25">
        <f t="shared" ca="1" si="1"/>
        <v>278</v>
      </c>
      <c r="I111">
        <v>15925</v>
      </c>
      <c r="J111" t="e" vm="6">
        <v>#VALUE!</v>
      </c>
      <c r="K111" cm="1" vm="7">
        <f t="array" aca="1" ref="K111" ca="1">_FV(J111,"Población")</f>
        <v>46234830</v>
      </c>
    </row>
    <row r="112" spans="3:11" x14ac:dyDescent="0.35">
      <c r="C112" s="51"/>
      <c r="D112" t="s">
        <v>192</v>
      </c>
      <c r="E112" t="s">
        <v>110</v>
      </c>
      <c r="F112" t="s">
        <v>569</v>
      </c>
      <c r="G112" s="24">
        <v>45641</v>
      </c>
      <c r="H112" s="25">
        <f t="shared" ca="1" si="1"/>
        <v>324</v>
      </c>
      <c r="I112">
        <v>3501</v>
      </c>
      <c r="J112" t="e" vm="4">
        <v>#VALUE!</v>
      </c>
      <c r="K112" cm="1" vm="5">
        <f t="array" aca="1" ref="K112" ca="1">_FV(J112,"Población")</f>
        <v>1412175000</v>
      </c>
    </row>
    <row r="113" spans="3:11" x14ac:dyDescent="0.35">
      <c r="C113" s="51"/>
      <c r="D113" t="s">
        <v>193</v>
      </c>
      <c r="E113" t="s">
        <v>361</v>
      </c>
      <c r="F113" t="s">
        <v>667</v>
      </c>
      <c r="G113" s="24">
        <v>45668</v>
      </c>
      <c r="H113" s="25">
        <f t="shared" ca="1" si="1"/>
        <v>297</v>
      </c>
      <c r="I113">
        <v>7700</v>
      </c>
      <c r="J113" t="e" vm="6">
        <v>#VALUE!</v>
      </c>
      <c r="K113" cm="1" vm="7">
        <f t="array" aca="1" ref="K113" ca="1">_FV(J113,"Población")</f>
        <v>46234830</v>
      </c>
    </row>
    <row r="114" spans="3:11" x14ac:dyDescent="0.35">
      <c r="C114" s="51"/>
      <c r="D114" t="s">
        <v>194</v>
      </c>
      <c r="E114" t="s">
        <v>350</v>
      </c>
      <c r="F114" t="s">
        <v>570</v>
      </c>
      <c r="G114" s="24">
        <v>45613</v>
      </c>
      <c r="H114" s="25">
        <f t="shared" ca="1" si="1"/>
        <v>352</v>
      </c>
      <c r="I114">
        <v>12379</v>
      </c>
      <c r="J114" t="e" vm="4">
        <v>#VALUE!</v>
      </c>
      <c r="K114" cm="1" vm="5">
        <f t="array" aca="1" ref="K114" ca="1">_FV(J114,"Población")</f>
        <v>1412175000</v>
      </c>
    </row>
    <row r="115" spans="3:11" x14ac:dyDescent="0.35">
      <c r="C115" s="51"/>
      <c r="D115" t="s">
        <v>195</v>
      </c>
      <c r="E115" t="s">
        <v>361</v>
      </c>
      <c r="F115" t="s">
        <v>668</v>
      </c>
      <c r="G115" s="24">
        <v>45651</v>
      </c>
      <c r="H115" s="25">
        <f t="shared" ca="1" si="1"/>
        <v>314</v>
      </c>
      <c r="I115">
        <v>8039</v>
      </c>
      <c r="J115" t="e" vm="6">
        <v>#VALUE!</v>
      </c>
      <c r="K115" cm="1" vm="7">
        <f t="array" aca="1" ref="K115" ca="1">_FV(J115,"Población")</f>
        <v>46234830</v>
      </c>
    </row>
    <row r="116" spans="3:11" x14ac:dyDescent="0.35">
      <c r="C116" s="51"/>
      <c r="D116" t="s">
        <v>196</v>
      </c>
      <c r="E116" t="s">
        <v>361</v>
      </c>
      <c r="F116" t="s">
        <v>459</v>
      </c>
      <c r="G116" s="24">
        <v>45627</v>
      </c>
      <c r="H116" s="25">
        <f t="shared" ca="1" si="1"/>
        <v>338</v>
      </c>
      <c r="I116">
        <v>9212</v>
      </c>
      <c r="J116" t="e" vm="2">
        <v>#VALUE!</v>
      </c>
      <c r="K116" cm="1" vm="3">
        <f t="array" aca="1" ref="K116" ca="1">_FV(J116,"Población")</f>
        <v>215313498</v>
      </c>
    </row>
    <row r="117" spans="3:11" x14ac:dyDescent="0.35">
      <c r="C117" s="51"/>
      <c r="D117" t="s">
        <v>197</v>
      </c>
      <c r="E117" t="s">
        <v>110</v>
      </c>
      <c r="F117" t="s">
        <v>460</v>
      </c>
      <c r="G117" s="24">
        <v>45668</v>
      </c>
      <c r="H117" s="25">
        <f t="shared" ca="1" si="1"/>
        <v>297</v>
      </c>
      <c r="I117">
        <v>8677</v>
      </c>
      <c r="J117" t="e" vm="2">
        <v>#VALUE!</v>
      </c>
      <c r="K117" cm="1" vm="3">
        <f t="array" aca="1" ref="K117" ca="1">_FV(J117,"Población")</f>
        <v>215313498</v>
      </c>
    </row>
    <row r="118" spans="3:11" x14ac:dyDescent="0.35">
      <c r="C118" s="51"/>
      <c r="D118" t="s">
        <v>198</v>
      </c>
      <c r="E118" t="s">
        <v>305</v>
      </c>
      <c r="F118" t="s">
        <v>461</v>
      </c>
      <c r="G118" s="24">
        <v>45681</v>
      </c>
      <c r="H118" s="25">
        <f t="shared" ca="1" si="1"/>
        <v>284</v>
      </c>
      <c r="I118">
        <v>6957</v>
      </c>
      <c r="J118" t="e" vm="2">
        <v>#VALUE!</v>
      </c>
      <c r="K118" cm="1" vm="3">
        <f t="array" aca="1" ref="K118" ca="1">_FV(J118,"Población")</f>
        <v>215313498</v>
      </c>
    </row>
    <row r="119" spans="3:11" x14ac:dyDescent="0.35">
      <c r="C119" s="51"/>
      <c r="D119" t="s">
        <v>199</v>
      </c>
      <c r="E119" t="s">
        <v>127</v>
      </c>
      <c r="F119" t="s">
        <v>462</v>
      </c>
      <c r="G119" s="24">
        <v>45666</v>
      </c>
      <c r="H119" s="25">
        <f t="shared" ca="1" si="1"/>
        <v>299</v>
      </c>
      <c r="I119">
        <v>2693</v>
      </c>
      <c r="J119" t="e" vm="2">
        <v>#VALUE!</v>
      </c>
      <c r="K119" cm="1" vm="3">
        <f t="array" aca="1" ref="K119" ca="1">_FV(J119,"Población")</f>
        <v>215313498</v>
      </c>
    </row>
    <row r="120" spans="3:11" x14ac:dyDescent="0.35">
      <c r="C120" s="51"/>
      <c r="D120" t="s">
        <v>200</v>
      </c>
      <c r="E120" t="s">
        <v>127</v>
      </c>
      <c r="F120" t="s">
        <v>463</v>
      </c>
      <c r="G120" s="24">
        <v>45666</v>
      </c>
      <c r="H120" s="25">
        <f t="shared" ca="1" si="1"/>
        <v>299</v>
      </c>
      <c r="I120">
        <v>7190</v>
      </c>
      <c r="J120" t="e" vm="2">
        <v>#VALUE!</v>
      </c>
      <c r="K120" cm="1" vm="3">
        <f t="array" aca="1" ref="K120" ca="1">_FV(J120,"Población")</f>
        <v>215313498</v>
      </c>
    </row>
    <row r="121" spans="3:11" x14ac:dyDescent="0.35">
      <c r="C121" s="51"/>
      <c r="D121" t="s">
        <v>201</v>
      </c>
      <c r="E121" t="s">
        <v>127</v>
      </c>
      <c r="F121" t="s">
        <v>669</v>
      </c>
      <c r="G121" s="24">
        <v>45625</v>
      </c>
      <c r="H121" s="25">
        <f t="shared" ca="1" si="1"/>
        <v>340</v>
      </c>
      <c r="I121">
        <v>1702</v>
      </c>
      <c r="J121" t="e" vm="6">
        <v>#VALUE!</v>
      </c>
      <c r="K121" cm="1" vm="7">
        <f t="array" aca="1" ref="K121" ca="1">_FV(J121,"Población")</f>
        <v>46234830</v>
      </c>
    </row>
    <row r="122" spans="3:11" x14ac:dyDescent="0.35">
      <c r="C122" s="51"/>
      <c r="D122" t="s">
        <v>202</v>
      </c>
      <c r="E122" t="s">
        <v>361</v>
      </c>
      <c r="F122" t="s">
        <v>571</v>
      </c>
      <c r="G122" s="24">
        <v>45641</v>
      </c>
      <c r="H122" s="25">
        <f t="shared" ca="1" si="1"/>
        <v>324</v>
      </c>
      <c r="I122">
        <v>15953</v>
      </c>
      <c r="J122" t="e" vm="4">
        <v>#VALUE!</v>
      </c>
      <c r="K122" cm="1" vm="5">
        <f t="array" aca="1" ref="K122" ca="1">_FV(J122,"Población")</f>
        <v>1412175000</v>
      </c>
    </row>
    <row r="123" spans="3:11" x14ac:dyDescent="0.35">
      <c r="C123" s="51"/>
      <c r="D123" t="s">
        <v>203</v>
      </c>
      <c r="E123" t="s">
        <v>305</v>
      </c>
      <c r="F123" t="s">
        <v>464</v>
      </c>
      <c r="G123" s="24">
        <v>45597</v>
      </c>
      <c r="H123" s="25">
        <f t="shared" ca="1" si="1"/>
        <v>368</v>
      </c>
      <c r="I123">
        <v>12799</v>
      </c>
      <c r="J123" t="e" vm="2">
        <v>#VALUE!</v>
      </c>
      <c r="K123" cm="1" vm="3">
        <f t="array" aca="1" ref="K123" ca="1">_FV(J123,"Población")</f>
        <v>215313498</v>
      </c>
    </row>
    <row r="124" spans="3:11" x14ac:dyDescent="0.35">
      <c r="C124" s="51"/>
      <c r="D124" t="s">
        <v>204</v>
      </c>
      <c r="E124" t="s">
        <v>127</v>
      </c>
      <c r="F124" t="s">
        <v>670</v>
      </c>
      <c r="G124" s="24">
        <v>45678</v>
      </c>
      <c r="H124" s="25">
        <f t="shared" ca="1" si="1"/>
        <v>287</v>
      </c>
      <c r="I124">
        <v>5882</v>
      </c>
      <c r="J124" t="e" vm="6">
        <v>#VALUE!</v>
      </c>
      <c r="K124" cm="1" vm="7">
        <f t="array" aca="1" ref="K124" ca="1">_FV(J124,"Población")</f>
        <v>46234830</v>
      </c>
    </row>
    <row r="125" spans="3:11" x14ac:dyDescent="0.35">
      <c r="C125" s="51"/>
      <c r="D125" t="s">
        <v>205</v>
      </c>
      <c r="E125" t="s">
        <v>127</v>
      </c>
      <c r="F125" t="s">
        <v>671</v>
      </c>
      <c r="G125" s="24">
        <v>45614</v>
      </c>
      <c r="H125" s="25">
        <f t="shared" ca="1" si="1"/>
        <v>351</v>
      </c>
      <c r="I125">
        <v>3489</v>
      </c>
      <c r="J125" t="e" vm="6">
        <v>#VALUE!</v>
      </c>
      <c r="K125" cm="1" vm="7">
        <f t="array" aca="1" ref="K125" ca="1">_FV(J125,"Población")</f>
        <v>46234830</v>
      </c>
    </row>
    <row r="126" spans="3:11" x14ac:dyDescent="0.35">
      <c r="C126" s="51"/>
      <c r="D126" t="s">
        <v>206</v>
      </c>
      <c r="E126" t="s">
        <v>81</v>
      </c>
      <c r="F126" t="s">
        <v>672</v>
      </c>
      <c r="G126" s="24">
        <v>45641</v>
      </c>
      <c r="H126" s="25">
        <f t="shared" ca="1" si="1"/>
        <v>324</v>
      </c>
      <c r="I126">
        <v>1960</v>
      </c>
      <c r="J126" t="e" vm="6">
        <v>#VALUE!</v>
      </c>
      <c r="K126" cm="1" vm="7">
        <f t="array" aca="1" ref="K126" ca="1">_FV(J126,"Población")</f>
        <v>46234830</v>
      </c>
    </row>
    <row r="127" spans="3:11" x14ac:dyDescent="0.35">
      <c r="C127" s="51"/>
      <c r="D127" t="s">
        <v>207</v>
      </c>
      <c r="E127" t="s">
        <v>127</v>
      </c>
      <c r="F127" t="s">
        <v>465</v>
      </c>
      <c r="G127" s="24">
        <v>45682</v>
      </c>
      <c r="H127" s="25">
        <f t="shared" ca="1" si="1"/>
        <v>283</v>
      </c>
      <c r="I127">
        <v>16978</v>
      </c>
      <c r="J127" t="e" vm="2">
        <v>#VALUE!</v>
      </c>
      <c r="K127" cm="1" vm="3">
        <f t="array" aca="1" ref="K127" ca="1">_FV(J127,"Población")</f>
        <v>215313498</v>
      </c>
    </row>
    <row r="128" spans="3:11" x14ac:dyDescent="0.35">
      <c r="C128" s="51"/>
      <c r="D128" t="s">
        <v>208</v>
      </c>
      <c r="E128" t="s">
        <v>361</v>
      </c>
      <c r="F128" t="s">
        <v>673</v>
      </c>
      <c r="G128" s="24">
        <v>45685</v>
      </c>
      <c r="H128" s="25">
        <f t="shared" ca="1" si="1"/>
        <v>280</v>
      </c>
      <c r="I128">
        <v>15840</v>
      </c>
      <c r="J128" t="e" vm="6">
        <v>#VALUE!</v>
      </c>
      <c r="K128" cm="1" vm="7">
        <f t="array" aca="1" ref="K128" ca="1">_FV(J128,"Población")</f>
        <v>46234830</v>
      </c>
    </row>
    <row r="129" spans="3:11" x14ac:dyDescent="0.35">
      <c r="C129" s="51"/>
      <c r="D129" t="s">
        <v>209</v>
      </c>
      <c r="E129" t="s">
        <v>81</v>
      </c>
      <c r="F129" t="s">
        <v>674</v>
      </c>
      <c r="G129" s="24">
        <v>45601</v>
      </c>
      <c r="H129" s="25">
        <f t="shared" ca="1" si="1"/>
        <v>364</v>
      </c>
      <c r="I129">
        <v>11007</v>
      </c>
      <c r="J129" t="e" vm="6">
        <v>#VALUE!</v>
      </c>
      <c r="K129" cm="1" vm="7">
        <f t="array" aca="1" ref="K129" ca="1">_FV(J129,"Población")</f>
        <v>46234830</v>
      </c>
    </row>
    <row r="130" spans="3:11" x14ac:dyDescent="0.35">
      <c r="C130" s="51"/>
      <c r="D130" t="s">
        <v>210</v>
      </c>
      <c r="E130" t="s">
        <v>81</v>
      </c>
      <c r="F130" t="s">
        <v>675</v>
      </c>
      <c r="G130" s="24">
        <v>45631</v>
      </c>
      <c r="H130" s="25">
        <f t="shared" ca="1" si="1"/>
        <v>334</v>
      </c>
      <c r="I130">
        <v>2762</v>
      </c>
      <c r="J130" t="e" vm="6">
        <v>#VALUE!</v>
      </c>
      <c r="K130" cm="1" vm="7">
        <f t="array" aca="1" ref="K130" ca="1">_FV(J130,"Población")</f>
        <v>46234830</v>
      </c>
    </row>
    <row r="131" spans="3:11" x14ac:dyDescent="0.35">
      <c r="C131" s="51"/>
      <c r="D131" t="s">
        <v>211</v>
      </c>
      <c r="E131" t="s">
        <v>110</v>
      </c>
      <c r="F131" t="s">
        <v>676</v>
      </c>
      <c r="G131" s="24">
        <v>45683</v>
      </c>
      <c r="H131" s="25">
        <f t="shared" ca="1" si="1"/>
        <v>282</v>
      </c>
      <c r="I131">
        <v>6494</v>
      </c>
      <c r="J131" t="e" vm="6">
        <v>#VALUE!</v>
      </c>
      <c r="K131" cm="1" vm="7">
        <f t="array" aca="1" ref="K131" ca="1">_FV(J131,"Población")</f>
        <v>46234830</v>
      </c>
    </row>
    <row r="132" spans="3:11" x14ac:dyDescent="0.35">
      <c r="C132" s="51"/>
      <c r="D132" t="s">
        <v>212</v>
      </c>
      <c r="E132" t="s">
        <v>110</v>
      </c>
      <c r="F132" t="s">
        <v>572</v>
      </c>
      <c r="G132" s="24">
        <v>45605</v>
      </c>
      <c r="H132" s="25">
        <f t="shared" ref="H132:H195" ca="1" si="2">TODAY()-G132</f>
        <v>360</v>
      </c>
      <c r="I132">
        <v>14042</v>
      </c>
      <c r="J132" t="e" vm="4">
        <v>#VALUE!</v>
      </c>
      <c r="K132" cm="1" vm="5">
        <f t="array" aca="1" ref="K132" ca="1">_FV(J132,"Población")</f>
        <v>1412175000</v>
      </c>
    </row>
    <row r="133" spans="3:11" x14ac:dyDescent="0.35">
      <c r="C133" s="51"/>
      <c r="D133" t="s">
        <v>213</v>
      </c>
      <c r="E133" t="s">
        <v>361</v>
      </c>
      <c r="F133" t="s">
        <v>573</v>
      </c>
      <c r="G133" s="24">
        <v>45614</v>
      </c>
      <c r="H133" s="25">
        <f t="shared" ca="1" si="2"/>
        <v>351</v>
      </c>
      <c r="I133">
        <v>18066</v>
      </c>
      <c r="J133" t="e" vm="4">
        <v>#VALUE!</v>
      </c>
      <c r="K133" cm="1" vm="5">
        <f t="array" aca="1" ref="K133" ca="1">_FV(J133,"Población")</f>
        <v>1412175000</v>
      </c>
    </row>
    <row r="134" spans="3:11" x14ac:dyDescent="0.35">
      <c r="C134" s="51"/>
      <c r="D134" t="s">
        <v>214</v>
      </c>
      <c r="E134" t="s">
        <v>127</v>
      </c>
      <c r="F134" t="s">
        <v>677</v>
      </c>
      <c r="G134" s="24">
        <v>45615</v>
      </c>
      <c r="H134" s="25">
        <f t="shared" ca="1" si="2"/>
        <v>350</v>
      </c>
      <c r="I134">
        <v>18119</v>
      </c>
      <c r="J134" t="e" vm="6">
        <v>#VALUE!</v>
      </c>
      <c r="K134" cm="1" vm="7">
        <f t="array" aca="1" ref="K134" ca="1">_FV(J134,"Población")</f>
        <v>46234830</v>
      </c>
    </row>
    <row r="135" spans="3:11" x14ac:dyDescent="0.35">
      <c r="C135" s="51"/>
      <c r="D135" t="s">
        <v>215</v>
      </c>
      <c r="E135" t="s">
        <v>361</v>
      </c>
      <c r="F135" t="s">
        <v>466</v>
      </c>
      <c r="G135" s="24">
        <v>45633</v>
      </c>
      <c r="H135" s="25">
        <f t="shared" ca="1" si="2"/>
        <v>332</v>
      </c>
      <c r="I135">
        <v>16003</v>
      </c>
      <c r="J135" t="e" vm="2">
        <v>#VALUE!</v>
      </c>
      <c r="K135" cm="1" vm="3">
        <f t="array" aca="1" ref="K135" ca="1">_FV(J135,"Población")</f>
        <v>215313498</v>
      </c>
    </row>
    <row r="136" spans="3:11" x14ac:dyDescent="0.35">
      <c r="C136" s="51"/>
      <c r="D136" t="s">
        <v>216</v>
      </c>
      <c r="E136" t="s">
        <v>350</v>
      </c>
      <c r="F136" t="s">
        <v>467</v>
      </c>
      <c r="G136" s="24">
        <v>45622</v>
      </c>
      <c r="H136" s="25">
        <f t="shared" ca="1" si="2"/>
        <v>343</v>
      </c>
      <c r="I136">
        <v>17271</v>
      </c>
      <c r="J136" t="e" vm="2">
        <v>#VALUE!</v>
      </c>
      <c r="K136" cm="1" vm="3">
        <f t="array" aca="1" ref="K136" ca="1">_FV(J136,"Población")</f>
        <v>215313498</v>
      </c>
    </row>
    <row r="137" spans="3:11" x14ac:dyDescent="0.35">
      <c r="C137" s="51"/>
      <c r="D137" t="s">
        <v>217</v>
      </c>
      <c r="E137" t="s">
        <v>305</v>
      </c>
      <c r="F137" t="s">
        <v>574</v>
      </c>
      <c r="G137" s="24">
        <v>45671</v>
      </c>
      <c r="H137" s="25">
        <f t="shared" ca="1" si="2"/>
        <v>294</v>
      </c>
      <c r="I137">
        <v>15404</v>
      </c>
      <c r="J137" t="e" vm="4">
        <v>#VALUE!</v>
      </c>
      <c r="K137" cm="1" vm="5">
        <f t="array" aca="1" ref="K137" ca="1">_FV(J137,"Población")</f>
        <v>1412175000</v>
      </c>
    </row>
    <row r="138" spans="3:11" x14ac:dyDescent="0.35">
      <c r="C138" s="51"/>
      <c r="D138" t="s">
        <v>218</v>
      </c>
      <c r="E138" t="s">
        <v>81</v>
      </c>
      <c r="F138" t="s">
        <v>575</v>
      </c>
      <c r="G138" s="24">
        <v>45643</v>
      </c>
      <c r="H138" s="25">
        <f t="shared" ca="1" si="2"/>
        <v>322</v>
      </c>
      <c r="I138">
        <v>9199</v>
      </c>
      <c r="J138" t="e" vm="4">
        <v>#VALUE!</v>
      </c>
      <c r="K138" cm="1" vm="5">
        <f t="array" aca="1" ref="K138" ca="1">_FV(J138,"Población")</f>
        <v>1412175000</v>
      </c>
    </row>
    <row r="139" spans="3:11" x14ac:dyDescent="0.35">
      <c r="C139" s="51"/>
      <c r="D139" t="s">
        <v>219</v>
      </c>
      <c r="E139" t="s">
        <v>350</v>
      </c>
      <c r="F139" t="s">
        <v>468</v>
      </c>
      <c r="G139" s="24">
        <v>45650</v>
      </c>
      <c r="H139" s="25">
        <f t="shared" ca="1" si="2"/>
        <v>315</v>
      </c>
      <c r="I139">
        <v>9376</v>
      </c>
      <c r="J139" t="e" vm="2">
        <v>#VALUE!</v>
      </c>
      <c r="K139" cm="1" vm="3">
        <f t="array" aca="1" ref="K139" ca="1">_FV(J139,"Población")</f>
        <v>215313498</v>
      </c>
    </row>
    <row r="140" spans="3:11" x14ac:dyDescent="0.35">
      <c r="C140" s="51"/>
      <c r="D140" t="s">
        <v>220</v>
      </c>
      <c r="E140" t="s">
        <v>81</v>
      </c>
      <c r="F140" t="s">
        <v>469</v>
      </c>
      <c r="G140" s="24">
        <v>45664</v>
      </c>
      <c r="H140" s="25">
        <f t="shared" ca="1" si="2"/>
        <v>301</v>
      </c>
      <c r="I140">
        <v>2011</v>
      </c>
      <c r="J140" t="e" vm="2">
        <v>#VALUE!</v>
      </c>
      <c r="K140" cm="1" vm="3">
        <f t="array" aca="1" ref="K140" ca="1">_FV(J140,"Población")</f>
        <v>215313498</v>
      </c>
    </row>
    <row r="141" spans="3:11" x14ac:dyDescent="0.35">
      <c r="C141" s="51"/>
      <c r="D141" t="s">
        <v>221</v>
      </c>
      <c r="E141" t="s">
        <v>127</v>
      </c>
      <c r="F141" t="s">
        <v>576</v>
      </c>
      <c r="G141" s="24">
        <v>45668</v>
      </c>
      <c r="H141" s="25">
        <f t="shared" ca="1" si="2"/>
        <v>297</v>
      </c>
      <c r="I141">
        <v>6430</v>
      </c>
      <c r="J141" t="e" vm="4">
        <v>#VALUE!</v>
      </c>
      <c r="K141" cm="1" vm="5">
        <f t="array" aca="1" ref="K141" ca="1">_FV(J141,"Población")</f>
        <v>1412175000</v>
      </c>
    </row>
    <row r="142" spans="3:11" x14ac:dyDescent="0.35">
      <c r="C142" s="51"/>
      <c r="D142" t="s">
        <v>222</v>
      </c>
      <c r="E142" t="s">
        <v>350</v>
      </c>
      <c r="F142" t="s">
        <v>470</v>
      </c>
      <c r="G142" s="24">
        <v>45628</v>
      </c>
      <c r="H142" s="25">
        <f t="shared" ca="1" si="2"/>
        <v>337</v>
      </c>
      <c r="I142">
        <v>9668</v>
      </c>
      <c r="J142" t="e" vm="2">
        <v>#VALUE!</v>
      </c>
      <c r="K142" cm="1" vm="3">
        <f t="array" aca="1" ref="K142" ca="1">_FV(J142,"Población")</f>
        <v>215313498</v>
      </c>
    </row>
    <row r="143" spans="3:11" x14ac:dyDescent="0.35">
      <c r="C143" s="51"/>
      <c r="D143" t="s">
        <v>223</v>
      </c>
      <c r="E143" t="s">
        <v>425</v>
      </c>
      <c r="F143" t="s">
        <v>471</v>
      </c>
      <c r="G143" s="24">
        <v>45665</v>
      </c>
      <c r="H143" s="25">
        <f t="shared" ca="1" si="2"/>
        <v>300</v>
      </c>
      <c r="I143">
        <v>19784</v>
      </c>
      <c r="J143" t="e" vm="2">
        <v>#VALUE!</v>
      </c>
      <c r="K143" cm="1" vm="3">
        <f t="array" aca="1" ref="K143" ca="1">_FV(J143,"Población")</f>
        <v>215313498</v>
      </c>
    </row>
    <row r="144" spans="3:11" x14ac:dyDescent="0.35">
      <c r="C144" s="51"/>
      <c r="D144" t="s">
        <v>224</v>
      </c>
      <c r="E144" t="s">
        <v>305</v>
      </c>
      <c r="F144" t="s">
        <v>472</v>
      </c>
      <c r="G144" s="24">
        <v>45654</v>
      </c>
      <c r="H144" s="25">
        <f t="shared" ca="1" si="2"/>
        <v>311</v>
      </c>
      <c r="I144">
        <v>12702</v>
      </c>
      <c r="J144" t="e" vm="2">
        <v>#VALUE!</v>
      </c>
      <c r="K144" cm="1" vm="3">
        <f t="array" aca="1" ref="K144" ca="1">_FV(J144,"Población")</f>
        <v>215313498</v>
      </c>
    </row>
    <row r="145" spans="3:11" x14ac:dyDescent="0.35">
      <c r="C145" s="51"/>
      <c r="D145" t="s">
        <v>225</v>
      </c>
      <c r="E145" t="s">
        <v>425</v>
      </c>
      <c r="F145" t="s">
        <v>678</v>
      </c>
      <c r="G145" s="24">
        <v>45628</v>
      </c>
      <c r="H145" s="25">
        <f t="shared" ca="1" si="2"/>
        <v>337</v>
      </c>
      <c r="I145">
        <v>18181</v>
      </c>
      <c r="J145" t="e" vm="6">
        <v>#VALUE!</v>
      </c>
      <c r="K145" cm="1" vm="7">
        <f t="array" aca="1" ref="K145" ca="1">_FV(J145,"Población")</f>
        <v>46234830</v>
      </c>
    </row>
    <row r="146" spans="3:11" x14ac:dyDescent="0.35">
      <c r="C146" s="51"/>
      <c r="D146" t="s">
        <v>226</v>
      </c>
      <c r="E146" t="s">
        <v>305</v>
      </c>
      <c r="F146" t="s">
        <v>577</v>
      </c>
      <c r="G146" s="24">
        <v>45651</v>
      </c>
      <c r="H146" s="25">
        <f t="shared" ca="1" si="2"/>
        <v>314</v>
      </c>
      <c r="I146">
        <v>6358</v>
      </c>
      <c r="J146" t="e" vm="4">
        <v>#VALUE!</v>
      </c>
      <c r="K146" cm="1" vm="5">
        <f t="array" aca="1" ref="K146" ca="1">_FV(J146,"Población")</f>
        <v>1412175000</v>
      </c>
    </row>
    <row r="147" spans="3:11" x14ac:dyDescent="0.35">
      <c r="C147" s="51"/>
      <c r="D147" t="s">
        <v>227</v>
      </c>
      <c r="E147" t="s">
        <v>305</v>
      </c>
      <c r="F147" t="s">
        <v>578</v>
      </c>
      <c r="G147" s="24">
        <v>45625</v>
      </c>
      <c r="H147" s="25">
        <f t="shared" ca="1" si="2"/>
        <v>340</v>
      </c>
      <c r="I147">
        <v>1435</v>
      </c>
      <c r="J147" t="e" vm="4">
        <v>#VALUE!</v>
      </c>
      <c r="K147" cm="1" vm="5">
        <f t="array" aca="1" ref="K147" ca="1">_FV(J147,"Población")</f>
        <v>1412175000</v>
      </c>
    </row>
    <row r="148" spans="3:11" x14ac:dyDescent="0.35">
      <c r="C148" s="51"/>
      <c r="D148" t="s">
        <v>228</v>
      </c>
      <c r="E148" t="s">
        <v>350</v>
      </c>
      <c r="F148" t="s">
        <v>679</v>
      </c>
      <c r="G148" s="24">
        <v>45688</v>
      </c>
      <c r="H148" s="25">
        <f t="shared" ca="1" si="2"/>
        <v>277</v>
      </c>
      <c r="I148">
        <v>18049</v>
      </c>
      <c r="J148" t="e" vm="6">
        <v>#VALUE!</v>
      </c>
      <c r="K148" cm="1" vm="7">
        <f t="array" aca="1" ref="K148" ca="1">_FV(J148,"Población")</f>
        <v>46234830</v>
      </c>
    </row>
    <row r="149" spans="3:11" x14ac:dyDescent="0.35">
      <c r="C149" s="51"/>
      <c r="D149" t="s">
        <v>229</v>
      </c>
      <c r="E149" t="s">
        <v>81</v>
      </c>
      <c r="F149" t="s">
        <v>473</v>
      </c>
      <c r="G149" s="24">
        <v>45677</v>
      </c>
      <c r="H149" s="25">
        <f t="shared" ca="1" si="2"/>
        <v>288</v>
      </c>
      <c r="I149">
        <v>4655</v>
      </c>
      <c r="J149" t="e" vm="2">
        <v>#VALUE!</v>
      </c>
      <c r="K149" cm="1" vm="3">
        <f t="array" aca="1" ref="K149" ca="1">_FV(J149,"Población")</f>
        <v>215313498</v>
      </c>
    </row>
    <row r="150" spans="3:11" x14ac:dyDescent="0.35">
      <c r="C150" s="51"/>
      <c r="D150" t="s">
        <v>230</v>
      </c>
      <c r="E150" t="s">
        <v>110</v>
      </c>
      <c r="F150" t="s">
        <v>474</v>
      </c>
      <c r="G150" s="24">
        <v>45613</v>
      </c>
      <c r="H150" s="25">
        <f t="shared" ca="1" si="2"/>
        <v>352</v>
      </c>
      <c r="I150">
        <v>7602</v>
      </c>
      <c r="J150" t="e" vm="2">
        <v>#VALUE!</v>
      </c>
      <c r="K150" cm="1" vm="3">
        <f t="array" aca="1" ref="K150" ca="1">_FV(J150,"Población")</f>
        <v>215313498</v>
      </c>
    </row>
    <row r="151" spans="3:11" x14ac:dyDescent="0.35">
      <c r="C151" s="51"/>
      <c r="D151" t="s">
        <v>231</v>
      </c>
      <c r="E151" t="s">
        <v>127</v>
      </c>
      <c r="F151" t="s">
        <v>680</v>
      </c>
      <c r="G151" s="24">
        <v>45650</v>
      </c>
      <c r="H151" s="25">
        <f t="shared" ca="1" si="2"/>
        <v>315</v>
      </c>
      <c r="I151">
        <v>9954</v>
      </c>
      <c r="J151" t="e" vm="6">
        <v>#VALUE!</v>
      </c>
      <c r="K151" cm="1" vm="7">
        <f t="array" aca="1" ref="K151" ca="1">_FV(J151,"Población")</f>
        <v>46234830</v>
      </c>
    </row>
    <row r="152" spans="3:11" x14ac:dyDescent="0.35">
      <c r="C152" s="51"/>
      <c r="D152" t="s">
        <v>232</v>
      </c>
      <c r="E152" t="s">
        <v>110</v>
      </c>
      <c r="F152" t="s">
        <v>475</v>
      </c>
      <c r="G152" s="24">
        <v>45646</v>
      </c>
      <c r="H152" s="25">
        <f t="shared" ca="1" si="2"/>
        <v>319</v>
      </c>
      <c r="I152">
        <v>10603</v>
      </c>
      <c r="J152" t="e" vm="2">
        <v>#VALUE!</v>
      </c>
      <c r="K152" cm="1" vm="3">
        <f t="array" aca="1" ref="K152" ca="1">_FV(J152,"Población")</f>
        <v>215313498</v>
      </c>
    </row>
    <row r="153" spans="3:11" x14ac:dyDescent="0.35">
      <c r="C153" s="51"/>
      <c r="D153" t="s">
        <v>233</v>
      </c>
      <c r="E153" t="s">
        <v>81</v>
      </c>
      <c r="F153" t="s">
        <v>681</v>
      </c>
      <c r="G153" s="24">
        <v>45642</v>
      </c>
      <c r="H153" s="25">
        <f t="shared" ca="1" si="2"/>
        <v>323</v>
      </c>
      <c r="I153">
        <v>19285</v>
      </c>
      <c r="J153" t="e" vm="6">
        <v>#VALUE!</v>
      </c>
      <c r="K153" cm="1" vm="7">
        <f t="array" aca="1" ref="K153" ca="1">_FV(J153,"Población")</f>
        <v>46234830</v>
      </c>
    </row>
    <row r="154" spans="3:11" x14ac:dyDescent="0.35">
      <c r="C154" s="51"/>
      <c r="D154" t="s">
        <v>234</v>
      </c>
      <c r="E154" t="s">
        <v>81</v>
      </c>
      <c r="F154" t="s">
        <v>682</v>
      </c>
      <c r="G154" s="24">
        <v>45641</v>
      </c>
      <c r="H154" s="25">
        <f t="shared" ca="1" si="2"/>
        <v>324</v>
      </c>
      <c r="I154">
        <v>14076</v>
      </c>
      <c r="J154" t="e" vm="6">
        <v>#VALUE!</v>
      </c>
      <c r="K154" cm="1" vm="7">
        <f t="array" aca="1" ref="K154" ca="1">_FV(J154,"Población")</f>
        <v>46234830</v>
      </c>
    </row>
    <row r="155" spans="3:11" x14ac:dyDescent="0.35">
      <c r="C155" s="51"/>
      <c r="D155" t="s">
        <v>235</v>
      </c>
      <c r="E155" t="s">
        <v>425</v>
      </c>
      <c r="F155" t="s">
        <v>683</v>
      </c>
      <c r="G155" s="24">
        <v>45673</v>
      </c>
      <c r="H155" s="25">
        <f t="shared" ca="1" si="2"/>
        <v>292</v>
      </c>
      <c r="I155">
        <v>17706</v>
      </c>
      <c r="J155" t="e" vm="6">
        <v>#VALUE!</v>
      </c>
      <c r="K155" cm="1" vm="7">
        <f t="array" aca="1" ref="K155" ca="1">_FV(J155,"Población")</f>
        <v>46234830</v>
      </c>
    </row>
    <row r="156" spans="3:11" x14ac:dyDescent="0.35">
      <c r="C156" s="51"/>
      <c r="D156" t="s">
        <v>236</v>
      </c>
      <c r="E156" t="s">
        <v>350</v>
      </c>
      <c r="F156" t="s">
        <v>579</v>
      </c>
      <c r="G156" s="24">
        <v>45675</v>
      </c>
      <c r="H156" s="25">
        <f t="shared" ca="1" si="2"/>
        <v>290</v>
      </c>
      <c r="I156">
        <v>11536</v>
      </c>
      <c r="J156" t="e" vm="4">
        <v>#VALUE!</v>
      </c>
      <c r="K156" cm="1" vm="5">
        <f t="array" aca="1" ref="K156" ca="1">_FV(J156,"Población")</f>
        <v>1412175000</v>
      </c>
    </row>
    <row r="157" spans="3:11" x14ac:dyDescent="0.35">
      <c r="C157" s="51"/>
      <c r="D157" t="s">
        <v>237</v>
      </c>
      <c r="E157" t="s">
        <v>305</v>
      </c>
      <c r="F157" t="s">
        <v>580</v>
      </c>
      <c r="G157" s="24">
        <v>45665</v>
      </c>
      <c r="H157" s="25">
        <f t="shared" ca="1" si="2"/>
        <v>300</v>
      </c>
      <c r="I157">
        <v>19065</v>
      </c>
      <c r="J157" t="e" vm="4">
        <v>#VALUE!</v>
      </c>
      <c r="K157" cm="1" vm="5">
        <f t="array" aca="1" ref="K157" ca="1">_FV(J157,"Población")</f>
        <v>1412175000</v>
      </c>
    </row>
    <row r="158" spans="3:11" x14ac:dyDescent="0.35">
      <c r="C158" s="51"/>
      <c r="D158" t="s">
        <v>238</v>
      </c>
      <c r="E158" t="s">
        <v>425</v>
      </c>
      <c r="F158" t="s">
        <v>684</v>
      </c>
      <c r="G158" s="24">
        <v>45615</v>
      </c>
      <c r="H158" s="25">
        <f t="shared" ca="1" si="2"/>
        <v>350</v>
      </c>
      <c r="I158">
        <v>5380</v>
      </c>
      <c r="J158" t="e" vm="6">
        <v>#VALUE!</v>
      </c>
      <c r="K158" cm="1" vm="7">
        <f t="array" aca="1" ref="K158" ca="1">_FV(J158,"Población")</f>
        <v>46234830</v>
      </c>
    </row>
    <row r="159" spans="3:11" x14ac:dyDescent="0.35">
      <c r="C159" s="51"/>
      <c r="D159" t="s">
        <v>239</v>
      </c>
      <c r="E159" t="s">
        <v>127</v>
      </c>
      <c r="F159" t="s">
        <v>685</v>
      </c>
      <c r="G159" s="24">
        <v>45641</v>
      </c>
      <c r="H159" s="25">
        <f t="shared" ca="1" si="2"/>
        <v>324</v>
      </c>
      <c r="I159">
        <v>17258</v>
      </c>
      <c r="J159" t="e" vm="6">
        <v>#VALUE!</v>
      </c>
      <c r="K159" cm="1" vm="7">
        <f t="array" aca="1" ref="K159" ca="1">_FV(J159,"Población")</f>
        <v>46234830</v>
      </c>
    </row>
    <row r="160" spans="3:11" x14ac:dyDescent="0.35">
      <c r="C160" s="51"/>
      <c r="D160" t="s">
        <v>240</v>
      </c>
      <c r="E160" t="s">
        <v>81</v>
      </c>
      <c r="F160" t="s">
        <v>581</v>
      </c>
      <c r="G160" s="24">
        <v>45612</v>
      </c>
      <c r="H160" s="25">
        <f t="shared" ca="1" si="2"/>
        <v>353</v>
      </c>
      <c r="I160">
        <v>14970</v>
      </c>
      <c r="J160" t="e" vm="4">
        <v>#VALUE!</v>
      </c>
      <c r="K160" cm="1" vm="5">
        <f t="array" aca="1" ref="K160" ca="1">_FV(J160,"Población")</f>
        <v>1412175000</v>
      </c>
    </row>
    <row r="161" spans="3:11" x14ac:dyDescent="0.35">
      <c r="C161" s="51"/>
      <c r="D161" t="s">
        <v>241</v>
      </c>
      <c r="E161" t="s">
        <v>110</v>
      </c>
      <c r="F161" t="s">
        <v>686</v>
      </c>
      <c r="G161" s="24">
        <v>45626</v>
      </c>
      <c r="H161" s="25">
        <f t="shared" ca="1" si="2"/>
        <v>339</v>
      </c>
      <c r="I161">
        <v>8651</v>
      </c>
      <c r="J161" t="e" vm="6">
        <v>#VALUE!</v>
      </c>
      <c r="K161" cm="1" vm="7">
        <f t="array" aca="1" ref="K161" ca="1">_FV(J161,"Población")</f>
        <v>46234830</v>
      </c>
    </row>
    <row r="162" spans="3:11" x14ac:dyDescent="0.35">
      <c r="C162" s="51"/>
      <c r="D162" t="s">
        <v>242</v>
      </c>
      <c r="E162" t="s">
        <v>350</v>
      </c>
      <c r="F162" t="s">
        <v>687</v>
      </c>
      <c r="G162" s="24">
        <v>45628</v>
      </c>
      <c r="H162" s="25">
        <f t="shared" ca="1" si="2"/>
        <v>337</v>
      </c>
      <c r="I162">
        <v>6563</v>
      </c>
      <c r="J162" t="e" vm="6">
        <v>#VALUE!</v>
      </c>
      <c r="K162" cm="1" vm="7">
        <f t="array" aca="1" ref="K162" ca="1">_FV(J162,"Población")</f>
        <v>46234830</v>
      </c>
    </row>
    <row r="163" spans="3:11" x14ac:dyDescent="0.35">
      <c r="C163" s="51"/>
      <c r="D163" t="s">
        <v>243</v>
      </c>
      <c r="E163" t="s">
        <v>350</v>
      </c>
      <c r="F163" t="s">
        <v>688</v>
      </c>
      <c r="G163" s="24">
        <v>45651</v>
      </c>
      <c r="H163" s="25">
        <f t="shared" ca="1" si="2"/>
        <v>314</v>
      </c>
      <c r="I163">
        <v>16901</v>
      </c>
      <c r="J163" t="e" vm="6">
        <v>#VALUE!</v>
      </c>
      <c r="K163" cm="1" vm="7">
        <f t="array" aca="1" ref="K163" ca="1">_FV(J163,"Población")</f>
        <v>46234830</v>
      </c>
    </row>
    <row r="164" spans="3:11" x14ac:dyDescent="0.35">
      <c r="C164" s="51"/>
      <c r="D164" t="s">
        <v>244</v>
      </c>
      <c r="E164" t="s">
        <v>361</v>
      </c>
      <c r="F164" t="s">
        <v>689</v>
      </c>
      <c r="G164" s="24">
        <v>45625</v>
      </c>
      <c r="H164" s="25">
        <f t="shared" ca="1" si="2"/>
        <v>340</v>
      </c>
      <c r="I164">
        <v>6140</v>
      </c>
      <c r="J164" t="e" vm="6">
        <v>#VALUE!</v>
      </c>
      <c r="K164" cm="1" vm="7">
        <f t="array" aca="1" ref="K164" ca="1">_FV(J164,"Población")</f>
        <v>46234830</v>
      </c>
    </row>
    <row r="165" spans="3:11" x14ac:dyDescent="0.35">
      <c r="C165" s="51"/>
      <c r="D165" t="s">
        <v>245</v>
      </c>
      <c r="E165" t="s">
        <v>81</v>
      </c>
      <c r="F165" t="s">
        <v>476</v>
      </c>
      <c r="G165" s="24">
        <v>45682</v>
      </c>
      <c r="H165" s="25">
        <f t="shared" ca="1" si="2"/>
        <v>283</v>
      </c>
      <c r="I165">
        <v>1669</v>
      </c>
      <c r="J165" t="e" vm="2">
        <v>#VALUE!</v>
      </c>
      <c r="K165" cm="1" vm="3">
        <f t="array" aca="1" ref="K165" ca="1">_FV(J165,"Población")</f>
        <v>215313498</v>
      </c>
    </row>
    <row r="166" spans="3:11" x14ac:dyDescent="0.35">
      <c r="C166" s="51"/>
      <c r="D166" t="s">
        <v>246</v>
      </c>
      <c r="E166" t="s">
        <v>350</v>
      </c>
      <c r="F166" t="s">
        <v>582</v>
      </c>
      <c r="G166" s="24">
        <v>45640</v>
      </c>
      <c r="H166" s="25">
        <f t="shared" ca="1" si="2"/>
        <v>325</v>
      </c>
      <c r="I166">
        <v>11694</v>
      </c>
      <c r="J166" t="e" vm="4">
        <v>#VALUE!</v>
      </c>
      <c r="K166" cm="1" vm="5">
        <f t="array" aca="1" ref="K166" ca="1">_FV(J166,"Población")</f>
        <v>1412175000</v>
      </c>
    </row>
    <row r="167" spans="3:11" x14ac:dyDescent="0.35">
      <c r="C167" s="51"/>
      <c r="D167" t="s">
        <v>247</v>
      </c>
      <c r="E167" t="s">
        <v>81</v>
      </c>
      <c r="F167" t="s">
        <v>690</v>
      </c>
      <c r="G167" s="24">
        <v>45675</v>
      </c>
      <c r="H167" s="25">
        <f t="shared" ca="1" si="2"/>
        <v>290</v>
      </c>
      <c r="I167">
        <v>5857</v>
      </c>
      <c r="J167" t="e" vm="6">
        <v>#VALUE!</v>
      </c>
      <c r="K167" cm="1" vm="7">
        <f t="array" aca="1" ref="K167" ca="1">_FV(J167,"Población")</f>
        <v>46234830</v>
      </c>
    </row>
    <row r="168" spans="3:11" x14ac:dyDescent="0.35">
      <c r="C168" s="51"/>
      <c r="D168" t="s">
        <v>248</v>
      </c>
      <c r="E168" t="s">
        <v>361</v>
      </c>
      <c r="F168" t="s">
        <v>477</v>
      </c>
      <c r="G168" s="24">
        <v>45622</v>
      </c>
      <c r="H168" s="25">
        <f t="shared" ca="1" si="2"/>
        <v>343</v>
      </c>
      <c r="I168">
        <v>10819</v>
      </c>
      <c r="J168" t="e" vm="2">
        <v>#VALUE!</v>
      </c>
      <c r="K168" cm="1" vm="3">
        <f t="array" aca="1" ref="K168" ca="1">_FV(J168,"Población")</f>
        <v>215313498</v>
      </c>
    </row>
    <row r="169" spans="3:11" x14ac:dyDescent="0.35">
      <c r="C169" s="51"/>
      <c r="D169" t="s">
        <v>249</v>
      </c>
      <c r="E169" t="s">
        <v>361</v>
      </c>
      <c r="F169" t="s">
        <v>583</v>
      </c>
      <c r="G169" s="24">
        <v>45665</v>
      </c>
      <c r="H169" s="25">
        <f t="shared" ca="1" si="2"/>
        <v>300</v>
      </c>
      <c r="I169">
        <v>4208</v>
      </c>
      <c r="J169" t="e" vm="4">
        <v>#VALUE!</v>
      </c>
      <c r="K169" cm="1" vm="5">
        <f t="array" aca="1" ref="K169" ca="1">_FV(J169,"Población")</f>
        <v>1412175000</v>
      </c>
    </row>
    <row r="170" spans="3:11" x14ac:dyDescent="0.35">
      <c r="C170" s="51"/>
      <c r="D170" t="s">
        <v>250</v>
      </c>
      <c r="E170" t="s">
        <v>425</v>
      </c>
      <c r="F170" t="s">
        <v>691</v>
      </c>
      <c r="G170" s="24">
        <v>45681</v>
      </c>
      <c r="H170" s="25">
        <f t="shared" ca="1" si="2"/>
        <v>284</v>
      </c>
      <c r="I170">
        <v>12242</v>
      </c>
      <c r="J170" t="e" vm="6">
        <v>#VALUE!</v>
      </c>
      <c r="K170" cm="1" vm="7">
        <f t="array" aca="1" ref="K170" ca="1">_FV(J170,"Población")</f>
        <v>46234830</v>
      </c>
    </row>
    <row r="171" spans="3:11" x14ac:dyDescent="0.35">
      <c r="C171" s="51"/>
      <c r="D171" t="s">
        <v>251</v>
      </c>
      <c r="E171" t="s">
        <v>350</v>
      </c>
      <c r="F171" t="s">
        <v>692</v>
      </c>
      <c r="G171" s="24">
        <v>45662</v>
      </c>
      <c r="H171" s="25">
        <f t="shared" ca="1" si="2"/>
        <v>303</v>
      </c>
      <c r="I171">
        <v>13345</v>
      </c>
      <c r="J171" t="e" vm="6">
        <v>#VALUE!</v>
      </c>
      <c r="K171" cm="1" vm="7">
        <f t="array" aca="1" ref="K171" ca="1">_FV(J171,"Población")</f>
        <v>46234830</v>
      </c>
    </row>
    <row r="172" spans="3:11" x14ac:dyDescent="0.35">
      <c r="C172" s="51"/>
      <c r="D172" t="s">
        <v>252</v>
      </c>
      <c r="E172" t="s">
        <v>350</v>
      </c>
      <c r="F172" t="s">
        <v>478</v>
      </c>
      <c r="G172" s="24">
        <v>45623</v>
      </c>
      <c r="H172" s="25">
        <f t="shared" ca="1" si="2"/>
        <v>342</v>
      </c>
      <c r="I172">
        <v>4947</v>
      </c>
      <c r="J172" t="e" vm="2">
        <v>#VALUE!</v>
      </c>
      <c r="K172" cm="1" vm="3">
        <f t="array" aca="1" ref="K172" ca="1">_FV(J172,"Población")</f>
        <v>215313498</v>
      </c>
    </row>
    <row r="173" spans="3:11" x14ac:dyDescent="0.35">
      <c r="C173" s="51"/>
      <c r="D173" t="s">
        <v>253</v>
      </c>
      <c r="E173" t="s">
        <v>425</v>
      </c>
      <c r="F173" t="s">
        <v>693</v>
      </c>
      <c r="G173" s="24">
        <v>45608</v>
      </c>
      <c r="H173" s="25">
        <f t="shared" ca="1" si="2"/>
        <v>357</v>
      </c>
      <c r="I173">
        <v>3513</v>
      </c>
      <c r="J173" t="e" vm="6">
        <v>#VALUE!</v>
      </c>
      <c r="K173" cm="1" vm="7">
        <f t="array" aca="1" ref="K173" ca="1">_FV(J173,"Población")</f>
        <v>46234830</v>
      </c>
    </row>
    <row r="174" spans="3:11" x14ac:dyDescent="0.35">
      <c r="C174" s="51"/>
      <c r="D174" t="s">
        <v>254</v>
      </c>
      <c r="E174" t="s">
        <v>127</v>
      </c>
      <c r="F174" t="s">
        <v>479</v>
      </c>
      <c r="G174" s="24">
        <v>45659</v>
      </c>
      <c r="H174" s="25">
        <f t="shared" ca="1" si="2"/>
        <v>306</v>
      </c>
      <c r="I174">
        <v>9465</v>
      </c>
      <c r="J174" t="e" vm="2">
        <v>#VALUE!</v>
      </c>
      <c r="K174" cm="1" vm="3">
        <f t="array" aca="1" ref="K174" ca="1">_FV(J174,"Población")</f>
        <v>215313498</v>
      </c>
    </row>
    <row r="175" spans="3:11" x14ac:dyDescent="0.35">
      <c r="C175" s="51"/>
      <c r="D175" t="s">
        <v>255</v>
      </c>
      <c r="E175" t="s">
        <v>305</v>
      </c>
      <c r="F175" t="s">
        <v>480</v>
      </c>
      <c r="G175" s="24">
        <v>45681</v>
      </c>
      <c r="H175" s="25">
        <f t="shared" ca="1" si="2"/>
        <v>284</v>
      </c>
      <c r="I175">
        <v>7804</v>
      </c>
      <c r="J175" t="e" vm="2">
        <v>#VALUE!</v>
      </c>
      <c r="K175" cm="1" vm="3">
        <f t="array" aca="1" ref="K175" ca="1">_FV(J175,"Población")</f>
        <v>215313498</v>
      </c>
    </row>
    <row r="176" spans="3:11" x14ac:dyDescent="0.35">
      <c r="C176" s="51"/>
      <c r="D176" t="s">
        <v>256</v>
      </c>
      <c r="E176" t="s">
        <v>361</v>
      </c>
      <c r="F176" t="s">
        <v>584</v>
      </c>
      <c r="G176" s="24">
        <v>45678</v>
      </c>
      <c r="H176" s="25">
        <f t="shared" ca="1" si="2"/>
        <v>287</v>
      </c>
      <c r="I176">
        <v>10256</v>
      </c>
      <c r="J176" t="e" vm="4">
        <v>#VALUE!</v>
      </c>
      <c r="K176" cm="1" vm="5">
        <f t="array" aca="1" ref="K176" ca="1">_FV(J176,"Población")</f>
        <v>1412175000</v>
      </c>
    </row>
    <row r="177" spans="3:11" x14ac:dyDescent="0.35">
      <c r="C177" s="51"/>
      <c r="D177" t="s">
        <v>257</v>
      </c>
      <c r="E177" t="s">
        <v>425</v>
      </c>
      <c r="F177" t="s">
        <v>694</v>
      </c>
      <c r="G177" s="24">
        <v>45683</v>
      </c>
      <c r="H177" s="25">
        <f t="shared" ca="1" si="2"/>
        <v>282</v>
      </c>
      <c r="I177">
        <v>5220</v>
      </c>
      <c r="J177" t="e" vm="6">
        <v>#VALUE!</v>
      </c>
      <c r="K177" cm="1" vm="7">
        <f t="array" aca="1" ref="K177" ca="1">_FV(J177,"Población")</f>
        <v>46234830</v>
      </c>
    </row>
    <row r="178" spans="3:11" x14ac:dyDescent="0.35">
      <c r="C178" s="51"/>
      <c r="D178" t="s">
        <v>258</v>
      </c>
      <c r="E178" t="s">
        <v>361</v>
      </c>
      <c r="F178" t="s">
        <v>481</v>
      </c>
      <c r="G178" s="24">
        <v>45628</v>
      </c>
      <c r="H178" s="25">
        <f t="shared" ca="1" si="2"/>
        <v>337</v>
      </c>
      <c r="I178">
        <v>2916</v>
      </c>
      <c r="J178" t="e" vm="2">
        <v>#VALUE!</v>
      </c>
      <c r="K178" cm="1" vm="3">
        <f t="array" aca="1" ref="K178" ca="1">_FV(J178,"Población")</f>
        <v>215313498</v>
      </c>
    </row>
    <row r="179" spans="3:11" x14ac:dyDescent="0.35">
      <c r="C179" s="51"/>
      <c r="D179" t="s">
        <v>259</v>
      </c>
      <c r="E179" t="s">
        <v>81</v>
      </c>
      <c r="F179" t="s">
        <v>482</v>
      </c>
      <c r="G179" s="24">
        <v>45687</v>
      </c>
      <c r="H179" s="25">
        <f t="shared" ca="1" si="2"/>
        <v>278</v>
      </c>
      <c r="I179">
        <v>17349</v>
      </c>
      <c r="J179" t="e" vm="2">
        <v>#VALUE!</v>
      </c>
      <c r="K179" cm="1" vm="3">
        <f t="array" aca="1" ref="K179" ca="1">_FV(J179,"Población")</f>
        <v>215313498</v>
      </c>
    </row>
    <row r="180" spans="3:11" x14ac:dyDescent="0.35">
      <c r="C180" s="51"/>
      <c r="D180" t="s">
        <v>260</v>
      </c>
      <c r="E180" t="s">
        <v>350</v>
      </c>
      <c r="F180" t="s">
        <v>585</v>
      </c>
      <c r="G180" s="24">
        <v>45599</v>
      </c>
      <c r="H180" s="25">
        <f t="shared" ca="1" si="2"/>
        <v>366</v>
      </c>
      <c r="I180">
        <v>12904</v>
      </c>
      <c r="J180" t="e" vm="4">
        <v>#VALUE!</v>
      </c>
      <c r="K180" cm="1" vm="5">
        <f t="array" aca="1" ref="K180" ca="1">_FV(J180,"Población")</f>
        <v>1412175000</v>
      </c>
    </row>
    <row r="181" spans="3:11" x14ac:dyDescent="0.35">
      <c r="C181" s="51"/>
      <c r="D181" t="s">
        <v>261</v>
      </c>
      <c r="E181" t="s">
        <v>350</v>
      </c>
      <c r="F181" t="s">
        <v>586</v>
      </c>
      <c r="G181" s="24">
        <v>45626</v>
      </c>
      <c r="H181" s="25">
        <f t="shared" ca="1" si="2"/>
        <v>339</v>
      </c>
      <c r="I181">
        <v>2842</v>
      </c>
      <c r="J181" t="e" vm="4">
        <v>#VALUE!</v>
      </c>
      <c r="K181" cm="1" vm="5">
        <f t="array" aca="1" ref="K181" ca="1">_FV(J181,"Población")</f>
        <v>1412175000</v>
      </c>
    </row>
    <row r="182" spans="3:11" x14ac:dyDescent="0.35">
      <c r="C182" s="51"/>
      <c r="D182" t="s">
        <v>262</v>
      </c>
      <c r="E182" t="s">
        <v>350</v>
      </c>
      <c r="F182" t="s">
        <v>587</v>
      </c>
      <c r="G182" s="24">
        <v>45632</v>
      </c>
      <c r="H182" s="25">
        <f t="shared" ca="1" si="2"/>
        <v>333</v>
      </c>
      <c r="I182">
        <v>4549</v>
      </c>
      <c r="J182" t="e" vm="4">
        <v>#VALUE!</v>
      </c>
      <c r="K182" cm="1" vm="5">
        <f t="array" aca="1" ref="K182" ca="1">_FV(J182,"Población")</f>
        <v>1412175000</v>
      </c>
    </row>
    <row r="183" spans="3:11" x14ac:dyDescent="0.35">
      <c r="C183" s="51"/>
      <c r="D183" t="s">
        <v>263</v>
      </c>
      <c r="E183" t="s">
        <v>305</v>
      </c>
      <c r="F183" t="s">
        <v>483</v>
      </c>
      <c r="G183" s="24">
        <v>45608</v>
      </c>
      <c r="H183" s="25">
        <f t="shared" ca="1" si="2"/>
        <v>357</v>
      </c>
      <c r="I183">
        <v>3890</v>
      </c>
      <c r="J183" t="e" vm="2">
        <v>#VALUE!</v>
      </c>
      <c r="K183" cm="1" vm="3">
        <f t="array" aca="1" ref="K183" ca="1">_FV(J183,"Población")</f>
        <v>215313498</v>
      </c>
    </row>
    <row r="184" spans="3:11" x14ac:dyDescent="0.35">
      <c r="C184" s="51"/>
      <c r="D184" t="s">
        <v>264</v>
      </c>
      <c r="E184" t="s">
        <v>110</v>
      </c>
      <c r="F184" t="s">
        <v>588</v>
      </c>
      <c r="G184" s="24">
        <v>45624</v>
      </c>
      <c r="H184" s="25">
        <f t="shared" ca="1" si="2"/>
        <v>341</v>
      </c>
      <c r="I184">
        <v>16896</v>
      </c>
      <c r="J184" t="e" vm="4">
        <v>#VALUE!</v>
      </c>
      <c r="K184" cm="1" vm="5">
        <f t="array" aca="1" ref="K184" ca="1">_FV(J184,"Población")</f>
        <v>1412175000</v>
      </c>
    </row>
    <row r="185" spans="3:11" x14ac:dyDescent="0.35">
      <c r="C185" s="51"/>
      <c r="D185" t="s">
        <v>265</v>
      </c>
      <c r="E185" t="s">
        <v>425</v>
      </c>
      <c r="F185" t="s">
        <v>484</v>
      </c>
      <c r="G185" s="24">
        <v>45644</v>
      </c>
      <c r="H185" s="25">
        <f t="shared" ca="1" si="2"/>
        <v>321</v>
      </c>
      <c r="I185">
        <v>3060</v>
      </c>
      <c r="J185" t="e" vm="2">
        <v>#VALUE!</v>
      </c>
      <c r="K185" cm="1" vm="3">
        <f t="array" aca="1" ref="K185" ca="1">_FV(J185,"Población")</f>
        <v>215313498</v>
      </c>
    </row>
    <row r="186" spans="3:11" x14ac:dyDescent="0.35">
      <c r="C186" s="51"/>
      <c r="D186" t="s">
        <v>266</v>
      </c>
      <c r="E186" t="s">
        <v>110</v>
      </c>
      <c r="F186" t="s">
        <v>485</v>
      </c>
      <c r="G186" s="24">
        <v>45605</v>
      </c>
      <c r="H186" s="25">
        <f t="shared" ca="1" si="2"/>
        <v>360</v>
      </c>
      <c r="I186">
        <v>17040</v>
      </c>
      <c r="J186" t="e" vm="2">
        <v>#VALUE!</v>
      </c>
      <c r="K186" cm="1" vm="3">
        <f t="array" aca="1" ref="K186" ca="1">_FV(J186,"Población")</f>
        <v>215313498</v>
      </c>
    </row>
    <row r="187" spans="3:11" x14ac:dyDescent="0.35">
      <c r="C187" s="51"/>
      <c r="D187" t="s">
        <v>267</v>
      </c>
      <c r="E187" t="s">
        <v>361</v>
      </c>
      <c r="F187" t="s">
        <v>695</v>
      </c>
      <c r="G187" s="24">
        <v>45657</v>
      </c>
      <c r="H187" s="25">
        <f t="shared" ca="1" si="2"/>
        <v>308</v>
      </c>
      <c r="I187">
        <v>12374</v>
      </c>
      <c r="J187" t="e" vm="6">
        <v>#VALUE!</v>
      </c>
      <c r="K187" cm="1" vm="7">
        <f t="array" aca="1" ref="K187" ca="1">_FV(J187,"Población")</f>
        <v>46234830</v>
      </c>
    </row>
    <row r="188" spans="3:11" x14ac:dyDescent="0.35">
      <c r="C188" s="51"/>
      <c r="D188" t="s">
        <v>268</v>
      </c>
      <c r="E188" t="s">
        <v>350</v>
      </c>
      <c r="F188" t="s">
        <v>696</v>
      </c>
      <c r="G188" s="24">
        <v>45637</v>
      </c>
      <c r="H188" s="25">
        <f t="shared" ca="1" si="2"/>
        <v>328</v>
      </c>
      <c r="I188">
        <v>13284</v>
      </c>
      <c r="J188" t="e" vm="6">
        <v>#VALUE!</v>
      </c>
      <c r="K188" cm="1" vm="7">
        <f t="array" aca="1" ref="K188" ca="1">_FV(J188,"Población")</f>
        <v>46234830</v>
      </c>
    </row>
    <row r="189" spans="3:11" x14ac:dyDescent="0.35">
      <c r="C189" s="51"/>
      <c r="D189" t="s">
        <v>269</v>
      </c>
      <c r="E189" t="s">
        <v>350</v>
      </c>
      <c r="F189" t="s">
        <v>486</v>
      </c>
      <c r="G189" s="24">
        <v>45606</v>
      </c>
      <c r="H189" s="25">
        <f t="shared" ca="1" si="2"/>
        <v>359</v>
      </c>
      <c r="I189">
        <v>10837</v>
      </c>
      <c r="J189" t="e" vm="2">
        <v>#VALUE!</v>
      </c>
      <c r="K189" cm="1" vm="3">
        <f t="array" aca="1" ref="K189" ca="1">_FV(J189,"Población")</f>
        <v>215313498</v>
      </c>
    </row>
    <row r="190" spans="3:11" x14ac:dyDescent="0.35">
      <c r="C190" s="51"/>
      <c r="D190" t="s">
        <v>270</v>
      </c>
      <c r="E190" t="s">
        <v>425</v>
      </c>
      <c r="F190" t="s">
        <v>487</v>
      </c>
      <c r="G190" s="24">
        <v>45669</v>
      </c>
      <c r="H190" s="25">
        <f t="shared" ca="1" si="2"/>
        <v>296</v>
      </c>
      <c r="I190">
        <v>9772</v>
      </c>
      <c r="J190" t="e" vm="2">
        <v>#VALUE!</v>
      </c>
      <c r="K190" cm="1" vm="3">
        <f t="array" aca="1" ref="K190" ca="1">_FV(J190,"Población")</f>
        <v>215313498</v>
      </c>
    </row>
    <row r="191" spans="3:11" x14ac:dyDescent="0.35">
      <c r="C191" s="51"/>
      <c r="D191" t="s">
        <v>271</v>
      </c>
      <c r="E191" t="s">
        <v>110</v>
      </c>
      <c r="F191" t="s">
        <v>697</v>
      </c>
      <c r="G191" s="24">
        <v>45621</v>
      </c>
      <c r="H191" s="25">
        <f t="shared" ca="1" si="2"/>
        <v>344</v>
      </c>
      <c r="I191">
        <v>18468</v>
      </c>
      <c r="J191" t="e" vm="6">
        <v>#VALUE!</v>
      </c>
      <c r="K191" cm="1" vm="7">
        <f t="array" aca="1" ref="K191" ca="1">_FV(J191,"Población")</f>
        <v>46234830</v>
      </c>
    </row>
    <row r="192" spans="3:11" x14ac:dyDescent="0.35">
      <c r="C192" s="51"/>
      <c r="D192" t="s">
        <v>272</v>
      </c>
      <c r="E192" t="s">
        <v>361</v>
      </c>
      <c r="F192" t="s">
        <v>488</v>
      </c>
      <c r="G192" s="24">
        <v>45607</v>
      </c>
      <c r="H192" s="25">
        <f t="shared" ca="1" si="2"/>
        <v>358</v>
      </c>
      <c r="I192">
        <v>15295</v>
      </c>
      <c r="J192" t="e" vm="2">
        <v>#VALUE!</v>
      </c>
      <c r="K192" cm="1" vm="3">
        <f t="array" aca="1" ref="K192" ca="1">_FV(J192,"Población")</f>
        <v>215313498</v>
      </c>
    </row>
    <row r="193" spans="3:11" x14ac:dyDescent="0.35">
      <c r="C193" s="51"/>
      <c r="D193" t="s">
        <v>273</v>
      </c>
      <c r="E193" t="s">
        <v>305</v>
      </c>
      <c r="F193" t="s">
        <v>589</v>
      </c>
      <c r="G193" s="24">
        <v>45605</v>
      </c>
      <c r="H193" s="25">
        <f t="shared" ca="1" si="2"/>
        <v>360</v>
      </c>
      <c r="I193">
        <v>12456</v>
      </c>
      <c r="J193" t="e" vm="4">
        <v>#VALUE!</v>
      </c>
      <c r="K193" cm="1" vm="5">
        <f t="array" aca="1" ref="K193" ca="1">_FV(J193,"Población")</f>
        <v>1412175000</v>
      </c>
    </row>
    <row r="194" spans="3:11" x14ac:dyDescent="0.35">
      <c r="C194" s="51"/>
      <c r="D194" t="s">
        <v>274</v>
      </c>
      <c r="E194" t="s">
        <v>81</v>
      </c>
      <c r="F194" t="s">
        <v>698</v>
      </c>
      <c r="G194" s="24">
        <v>45638</v>
      </c>
      <c r="H194" s="25">
        <f t="shared" ca="1" si="2"/>
        <v>327</v>
      </c>
      <c r="I194">
        <v>16568</v>
      </c>
      <c r="J194" t="e" vm="6">
        <v>#VALUE!</v>
      </c>
      <c r="K194" cm="1" vm="7">
        <f t="array" aca="1" ref="K194" ca="1">_FV(J194,"Población")</f>
        <v>46234830</v>
      </c>
    </row>
    <row r="195" spans="3:11" x14ac:dyDescent="0.35">
      <c r="C195" s="51"/>
      <c r="D195" t="s">
        <v>275</v>
      </c>
      <c r="E195" t="s">
        <v>81</v>
      </c>
      <c r="F195" t="s">
        <v>489</v>
      </c>
      <c r="G195" s="24">
        <v>45666</v>
      </c>
      <c r="H195" s="25">
        <f t="shared" ca="1" si="2"/>
        <v>299</v>
      </c>
      <c r="I195">
        <v>8590</v>
      </c>
      <c r="J195" t="e" vm="2">
        <v>#VALUE!</v>
      </c>
      <c r="K195" cm="1" vm="3">
        <f t="array" aca="1" ref="K195" ca="1">_FV(J195,"Población")</f>
        <v>215313498</v>
      </c>
    </row>
    <row r="196" spans="3:11" x14ac:dyDescent="0.35">
      <c r="C196" s="51"/>
      <c r="D196" t="s">
        <v>276</v>
      </c>
      <c r="E196" t="s">
        <v>305</v>
      </c>
      <c r="F196" t="s">
        <v>490</v>
      </c>
      <c r="G196" s="24">
        <v>45669</v>
      </c>
      <c r="H196" s="25">
        <f t="shared" ref="H196:H259" ca="1" si="3">TODAY()-G196</f>
        <v>296</v>
      </c>
      <c r="I196">
        <v>8065</v>
      </c>
      <c r="J196" t="e" vm="2">
        <v>#VALUE!</v>
      </c>
      <c r="K196" cm="1" vm="3">
        <f t="array" aca="1" ref="K196" ca="1">_FV(J196,"Población")</f>
        <v>215313498</v>
      </c>
    </row>
    <row r="197" spans="3:11" x14ac:dyDescent="0.35">
      <c r="C197" s="51"/>
      <c r="D197" t="s">
        <v>277</v>
      </c>
      <c r="E197" t="s">
        <v>81</v>
      </c>
      <c r="F197" t="s">
        <v>590</v>
      </c>
      <c r="G197" s="24">
        <v>45684</v>
      </c>
      <c r="H197" s="25">
        <f t="shared" ca="1" si="3"/>
        <v>281</v>
      </c>
      <c r="I197">
        <v>14003</v>
      </c>
      <c r="J197" t="e" vm="4">
        <v>#VALUE!</v>
      </c>
      <c r="K197" cm="1" vm="5">
        <f t="array" aca="1" ref="K197" ca="1">_FV(J197,"Población")</f>
        <v>1412175000</v>
      </c>
    </row>
    <row r="198" spans="3:11" x14ac:dyDescent="0.35">
      <c r="C198" s="51"/>
      <c r="D198" t="s">
        <v>278</v>
      </c>
      <c r="E198" t="s">
        <v>305</v>
      </c>
      <c r="F198" t="s">
        <v>699</v>
      </c>
      <c r="G198" s="24">
        <v>45652</v>
      </c>
      <c r="H198" s="25">
        <f t="shared" ca="1" si="3"/>
        <v>313</v>
      </c>
      <c r="I198">
        <v>4415</v>
      </c>
      <c r="J198" t="e" vm="6">
        <v>#VALUE!</v>
      </c>
      <c r="K198" cm="1" vm="7">
        <f t="array" aca="1" ref="K198" ca="1">_FV(J198,"Población")</f>
        <v>46234830</v>
      </c>
    </row>
    <row r="199" spans="3:11" x14ac:dyDescent="0.35">
      <c r="C199" s="51"/>
      <c r="D199" t="s">
        <v>279</v>
      </c>
      <c r="E199" t="s">
        <v>110</v>
      </c>
      <c r="F199" t="s">
        <v>591</v>
      </c>
      <c r="G199" s="24">
        <v>45660</v>
      </c>
      <c r="H199" s="25">
        <f t="shared" ca="1" si="3"/>
        <v>305</v>
      </c>
      <c r="I199">
        <v>9724</v>
      </c>
      <c r="J199" t="e" vm="4">
        <v>#VALUE!</v>
      </c>
      <c r="K199" cm="1" vm="5">
        <f t="array" aca="1" ref="K199" ca="1">_FV(J199,"Población")</f>
        <v>1412175000</v>
      </c>
    </row>
    <row r="200" spans="3:11" x14ac:dyDescent="0.35">
      <c r="C200" s="51"/>
      <c r="D200" t="s">
        <v>280</v>
      </c>
      <c r="E200" t="s">
        <v>127</v>
      </c>
      <c r="F200" t="s">
        <v>491</v>
      </c>
      <c r="G200" s="24">
        <v>45656</v>
      </c>
      <c r="H200" s="25">
        <f t="shared" ca="1" si="3"/>
        <v>309</v>
      </c>
      <c r="I200">
        <v>1683</v>
      </c>
      <c r="J200" t="e" vm="2">
        <v>#VALUE!</v>
      </c>
      <c r="K200" cm="1" vm="3">
        <f t="array" aca="1" ref="K200" ca="1">_FV(J200,"Población")</f>
        <v>215313498</v>
      </c>
    </row>
    <row r="201" spans="3:11" x14ac:dyDescent="0.35">
      <c r="C201" s="51"/>
      <c r="D201" t="s">
        <v>281</v>
      </c>
      <c r="E201" t="s">
        <v>305</v>
      </c>
      <c r="F201" t="s">
        <v>700</v>
      </c>
      <c r="G201" s="24">
        <v>45622</v>
      </c>
      <c r="H201" s="25">
        <f t="shared" ca="1" si="3"/>
        <v>343</v>
      </c>
      <c r="I201">
        <v>14094</v>
      </c>
      <c r="J201" t="e" vm="6">
        <v>#VALUE!</v>
      </c>
      <c r="K201" cm="1" vm="7">
        <f t="array" aca="1" ref="K201" ca="1">_FV(J201,"Población")</f>
        <v>46234830</v>
      </c>
    </row>
    <row r="202" spans="3:11" x14ac:dyDescent="0.35">
      <c r="C202" s="51"/>
      <c r="D202" t="s">
        <v>282</v>
      </c>
      <c r="E202" t="s">
        <v>81</v>
      </c>
      <c r="F202" t="s">
        <v>701</v>
      </c>
      <c r="G202" s="24">
        <v>45660</v>
      </c>
      <c r="H202" s="25">
        <f t="shared" ca="1" si="3"/>
        <v>305</v>
      </c>
      <c r="I202">
        <v>10199</v>
      </c>
      <c r="J202" t="e" vm="6">
        <v>#VALUE!</v>
      </c>
      <c r="K202" cm="1" vm="7">
        <f t="array" aca="1" ref="K202" ca="1">_FV(J202,"Población")</f>
        <v>46234830</v>
      </c>
    </row>
    <row r="203" spans="3:11" x14ac:dyDescent="0.35">
      <c r="C203" s="51"/>
      <c r="D203" t="s">
        <v>283</v>
      </c>
      <c r="E203" t="s">
        <v>361</v>
      </c>
      <c r="F203" t="s">
        <v>592</v>
      </c>
      <c r="G203" s="24">
        <v>45620</v>
      </c>
      <c r="H203" s="25">
        <f t="shared" ca="1" si="3"/>
        <v>345</v>
      </c>
      <c r="I203">
        <v>9358</v>
      </c>
      <c r="J203" t="e" vm="4">
        <v>#VALUE!</v>
      </c>
      <c r="K203" cm="1" vm="5">
        <f t="array" aca="1" ref="K203" ca="1">_FV(J203,"Población")</f>
        <v>1412175000</v>
      </c>
    </row>
    <row r="204" spans="3:11" x14ac:dyDescent="0.35">
      <c r="C204" s="51"/>
      <c r="D204" t="s">
        <v>284</v>
      </c>
      <c r="E204" t="s">
        <v>361</v>
      </c>
      <c r="F204" t="s">
        <v>492</v>
      </c>
      <c r="G204" s="24">
        <v>45655</v>
      </c>
      <c r="H204" s="25">
        <f t="shared" ca="1" si="3"/>
        <v>310</v>
      </c>
      <c r="I204">
        <v>17161</v>
      </c>
      <c r="J204" t="e" vm="2">
        <v>#VALUE!</v>
      </c>
      <c r="K204" cm="1" vm="3">
        <f t="array" aca="1" ref="K204" ca="1">_FV(J204,"Población")</f>
        <v>215313498</v>
      </c>
    </row>
    <row r="205" spans="3:11" x14ac:dyDescent="0.35">
      <c r="C205" s="51"/>
      <c r="D205" t="s">
        <v>285</v>
      </c>
      <c r="E205" t="s">
        <v>425</v>
      </c>
      <c r="F205" t="s">
        <v>593</v>
      </c>
      <c r="G205" s="24">
        <v>45678</v>
      </c>
      <c r="H205" s="25">
        <f t="shared" ca="1" si="3"/>
        <v>287</v>
      </c>
      <c r="I205">
        <v>6766</v>
      </c>
      <c r="J205" t="e" vm="4">
        <v>#VALUE!</v>
      </c>
      <c r="K205" cm="1" vm="5">
        <f t="array" aca="1" ref="K205" ca="1">_FV(J205,"Población")</f>
        <v>1412175000</v>
      </c>
    </row>
    <row r="206" spans="3:11" x14ac:dyDescent="0.35">
      <c r="C206" s="51"/>
      <c r="D206" t="s">
        <v>286</v>
      </c>
      <c r="E206" t="s">
        <v>127</v>
      </c>
      <c r="F206" t="s">
        <v>594</v>
      </c>
      <c r="G206" s="24">
        <v>45632</v>
      </c>
      <c r="H206" s="25">
        <f t="shared" ca="1" si="3"/>
        <v>333</v>
      </c>
      <c r="I206">
        <v>7675</v>
      </c>
      <c r="J206" t="e" vm="4">
        <v>#VALUE!</v>
      </c>
      <c r="K206" cm="1" vm="5">
        <f t="array" aca="1" ref="K206" ca="1">_FV(J206,"Población")</f>
        <v>1412175000</v>
      </c>
    </row>
    <row r="207" spans="3:11" x14ac:dyDescent="0.35">
      <c r="C207" s="51"/>
      <c r="D207" t="s">
        <v>287</v>
      </c>
      <c r="E207" t="s">
        <v>350</v>
      </c>
      <c r="F207" t="s">
        <v>702</v>
      </c>
      <c r="G207" s="24">
        <v>45633</v>
      </c>
      <c r="H207" s="25">
        <f t="shared" ca="1" si="3"/>
        <v>332</v>
      </c>
      <c r="I207">
        <v>3683</v>
      </c>
      <c r="J207" t="e" vm="6">
        <v>#VALUE!</v>
      </c>
      <c r="K207" cm="1" vm="7">
        <f t="array" aca="1" ref="K207" ca="1">_FV(J207,"Población")</f>
        <v>46234830</v>
      </c>
    </row>
    <row r="208" spans="3:11" x14ac:dyDescent="0.35">
      <c r="C208" s="51"/>
      <c r="D208" t="s">
        <v>288</v>
      </c>
      <c r="E208" t="s">
        <v>350</v>
      </c>
      <c r="F208" t="s">
        <v>595</v>
      </c>
      <c r="G208" s="24">
        <v>45681</v>
      </c>
      <c r="H208" s="25">
        <f t="shared" ca="1" si="3"/>
        <v>284</v>
      </c>
      <c r="I208">
        <v>11360</v>
      </c>
      <c r="J208" t="e" vm="4">
        <v>#VALUE!</v>
      </c>
      <c r="K208" cm="1" vm="5">
        <f t="array" aca="1" ref="K208" ca="1">_FV(J208,"Población")</f>
        <v>1412175000</v>
      </c>
    </row>
    <row r="209" spans="3:11" x14ac:dyDescent="0.35">
      <c r="C209" s="51"/>
      <c r="D209" t="s">
        <v>289</v>
      </c>
      <c r="E209" t="s">
        <v>425</v>
      </c>
      <c r="F209" t="s">
        <v>703</v>
      </c>
      <c r="G209" s="24">
        <v>45633</v>
      </c>
      <c r="H209" s="25">
        <f t="shared" ca="1" si="3"/>
        <v>332</v>
      </c>
      <c r="I209">
        <v>9882</v>
      </c>
      <c r="J209" t="e" vm="6">
        <v>#VALUE!</v>
      </c>
      <c r="K209" cm="1" vm="7">
        <f t="array" aca="1" ref="K209" ca="1">_FV(J209,"Población")</f>
        <v>46234830</v>
      </c>
    </row>
    <row r="210" spans="3:11" x14ac:dyDescent="0.35">
      <c r="C210" s="51"/>
      <c r="D210" t="s">
        <v>290</v>
      </c>
      <c r="E210" t="s">
        <v>81</v>
      </c>
      <c r="F210" t="s">
        <v>596</v>
      </c>
      <c r="G210" s="24">
        <v>45601</v>
      </c>
      <c r="H210" s="25">
        <f t="shared" ca="1" si="3"/>
        <v>364</v>
      </c>
      <c r="I210">
        <v>2607</v>
      </c>
      <c r="J210" t="e" vm="4">
        <v>#VALUE!</v>
      </c>
      <c r="K210" cm="1" vm="5">
        <f t="array" aca="1" ref="K210" ca="1">_FV(J210,"Población")</f>
        <v>1412175000</v>
      </c>
    </row>
    <row r="211" spans="3:11" x14ac:dyDescent="0.35">
      <c r="C211" s="51"/>
      <c r="D211" t="s">
        <v>291</v>
      </c>
      <c r="E211" t="s">
        <v>305</v>
      </c>
      <c r="F211" t="s">
        <v>704</v>
      </c>
      <c r="G211" s="24">
        <v>45662</v>
      </c>
      <c r="H211" s="25">
        <f t="shared" ca="1" si="3"/>
        <v>303</v>
      </c>
      <c r="I211">
        <v>12736</v>
      </c>
      <c r="J211" t="e" vm="6">
        <v>#VALUE!</v>
      </c>
      <c r="K211" cm="1" vm="7">
        <f t="array" aca="1" ref="K211" ca="1">_FV(J211,"Población")</f>
        <v>46234830</v>
      </c>
    </row>
    <row r="212" spans="3:11" x14ac:dyDescent="0.35">
      <c r="C212" s="51"/>
      <c r="D212" t="s">
        <v>292</v>
      </c>
      <c r="E212" t="s">
        <v>81</v>
      </c>
      <c r="F212" t="s">
        <v>597</v>
      </c>
      <c r="G212" s="24">
        <v>45644</v>
      </c>
      <c r="H212" s="25">
        <f t="shared" ca="1" si="3"/>
        <v>321</v>
      </c>
      <c r="I212">
        <v>16087</v>
      </c>
      <c r="J212" t="e" vm="4">
        <v>#VALUE!</v>
      </c>
      <c r="K212" cm="1" vm="5">
        <f t="array" aca="1" ref="K212" ca="1">_FV(J212,"Población")</f>
        <v>1412175000</v>
      </c>
    </row>
    <row r="213" spans="3:11" x14ac:dyDescent="0.35">
      <c r="C213" s="51"/>
      <c r="D213" t="s">
        <v>293</v>
      </c>
      <c r="E213" t="s">
        <v>425</v>
      </c>
      <c r="F213" t="s">
        <v>598</v>
      </c>
      <c r="G213" s="24">
        <v>45658</v>
      </c>
      <c r="H213" s="25">
        <f t="shared" ca="1" si="3"/>
        <v>307</v>
      </c>
      <c r="I213">
        <v>10964</v>
      </c>
      <c r="J213" t="e" vm="4">
        <v>#VALUE!</v>
      </c>
      <c r="K213" cm="1" vm="5">
        <f t="array" aca="1" ref="K213" ca="1">_FV(J213,"Población")</f>
        <v>1412175000</v>
      </c>
    </row>
    <row r="214" spans="3:11" x14ac:dyDescent="0.35">
      <c r="C214" s="51"/>
      <c r="D214" t="s">
        <v>294</v>
      </c>
      <c r="E214" t="s">
        <v>110</v>
      </c>
      <c r="F214" t="s">
        <v>705</v>
      </c>
      <c r="G214" s="24">
        <v>45626</v>
      </c>
      <c r="H214" s="25">
        <f t="shared" ca="1" si="3"/>
        <v>339</v>
      </c>
      <c r="I214">
        <v>19950</v>
      </c>
      <c r="J214" t="e" vm="6">
        <v>#VALUE!</v>
      </c>
      <c r="K214" cm="1" vm="7">
        <f t="array" aca="1" ref="K214" ca="1">_FV(J214,"Población")</f>
        <v>46234830</v>
      </c>
    </row>
    <row r="215" spans="3:11" x14ac:dyDescent="0.35">
      <c r="C215" s="51"/>
      <c r="D215" t="s">
        <v>295</v>
      </c>
      <c r="E215" t="s">
        <v>81</v>
      </c>
      <c r="F215" t="s">
        <v>706</v>
      </c>
      <c r="G215" s="24">
        <v>45609</v>
      </c>
      <c r="H215" s="25">
        <f t="shared" ca="1" si="3"/>
        <v>356</v>
      </c>
      <c r="I215">
        <v>14958</v>
      </c>
      <c r="J215" t="e" vm="6">
        <v>#VALUE!</v>
      </c>
      <c r="K215" cm="1" vm="7">
        <f t="array" aca="1" ref="K215" ca="1">_FV(J215,"Población")</f>
        <v>46234830</v>
      </c>
    </row>
    <row r="216" spans="3:11" x14ac:dyDescent="0.35">
      <c r="C216" s="51"/>
      <c r="D216" t="s">
        <v>296</v>
      </c>
      <c r="E216" t="s">
        <v>361</v>
      </c>
      <c r="F216" t="s">
        <v>707</v>
      </c>
      <c r="G216" s="24">
        <v>45630</v>
      </c>
      <c r="H216" s="25">
        <f t="shared" ca="1" si="3"/>
        <v>335</v>
      </c>
      <c r="I216">
        <v>7770</v>
      </c>
      <c r="J216" t="e" vm="6">
        <v>#VALUE!</v>
      </c>
      <c r="K216" cm="1" vm="7">
        <f t="array" aca="1" ref="K216" ca="1">_FV(J216,"Población")</f>
        <v>46234830</v>
      </c>
    </row>
    <row r="217" spans="3:11" x14ac:dyDescent="0.35">
      <c r="C217" s="51"/>
      <c r="D217" t="s">
        <v>297</v>
      </c>
      <c r="E217" t="s">
        <v>350</v>
      </c>
      <c r="F217" t="s">
        <v>599</v>
      </c>
      <c r="G217" s="24">
        <v>45667</v>
      </c>
      <c r="H217" s="25">
        <f t="shared" ca="1" si="3"/>
        <v>298</v>
      </c>
      <c r="I217">
        <v>16535</v>
      </c>
      <c r="J217" t="e" vm="4">
        <v>#VALUE!</v>
      </c>
      <c r="K217" cm="1" vm="5">
        <f t="array" aca="1" ref="K217" ca="1">_FV(J217,"Población")</f>
        <v>1412175000</v>
      </c>
    </row>
    <row r="218" spans="3:11" x14ac:dyDescent="0.35">
      <c r="C218" s="51"/>
      <c r="D218" t="s">
        <v>298</v>
      </c>
      <c r="E218" t="s">
        <v>110</v>
      </c>
      <c r="F218" t="s">
        <v>708</v>
      </c>
      <c r="G218" s="24">
        <v>45630</v>
      </c>
      <c r="H218" s="25">
        <f t="shared" ca="1" si="3"/>
        <v>335</v>
      </c>
      <c r="I218">
        <v>9844</v>
      </c>
      <c r="J218" t="e" vm="6">
        <v>#VALUE!</v>
      </c>
      <c r="K218" cm="1" vm="7">
        <f t="array" aca="1" ref="K218" ca="1">_FV(J218,"Población")</f>
        <v>46234830</v>
      </c>
    </row>
    <row r="219" spans="3:11" x14ac:dyDescent="0.35">
      <c r="C219" s="51"/>
      <c r="D219" t="s">
        <v>299</v>
      </c>
      <c r="E219" t="s">
        <v>305</v>
      </c>
      <c r="F219" t="s">
        <v>709</v>
      </c>
      <c r="G219" s="24">
        <v>45666</v>
      </c>
      <c r="H219" s="25">
        <f t="shared" ca="1" si="3"/>
        <v>299</v>
      </c>
      <c r="I219">
        <v>16796</v>
      </c>
      <c r="J219" t="e" vm="6">
        <v>#VALUE!</v>
      </c>
      <c r="K219" cm="1" vm="7">
        <f t="array" aca="1" ref="K219" ca="1">_FV(J219,"Población")</f>
        <v>46234830</v>
      </c>
    </row>
    <row r="220" spans="3:11" x14ac:dyDescent="0.35">
      <c r="C220" s="51"/>
      <c r="D220" t="s">
        <v>300</v>
      </c>
      <c r="E220" t="s">
        <v>350</v>
      </c>
      <c r="F220" t="s">
        <v>710</v>
      </c>
      <c r="G220" s="24">
        <v>45658</v>
      </c>
      <c r="H220" s="25">
        <f t="shared" ca="1" si="3"/>
        <v>307</v>
      </c>
      <c r="I220">
        <v>15453</v>
      </c>
      <c r="J220" t="e" vm="6">
        <v>#VALUE!</v>
      </c>
      <c r="K220" cm="1" vm="7">
        <f t="array" aca="1" ref="K220" ca="1">_FV(J220,"Población")</f>
        <v>46234830</v>
      </c>
    </row>
    <row r="221" spans="3:11" x14ac:dyDescent="0.35">
      <c r="C221" s="51"/>
      <c r="D221" t="s">
        <v>301</v>
      </c>
      <c r="E221" t="s">
        <v>350</v>
      </c>
      <c r="F221" t="s">
        <v>600</v>
      </c>
      <c r="G221" s="24">
        <v>45613</v>
      </c>
      <c r="H221" s="25">
        <f t="shared" ca="1" si="3"/>
        <v>352</v>
      </c>
      <c r="I221">
        <v>17402</v>
      </c>
      <c r="J221" t="e" vm="4">
        <v>#VALUE!</v>
      </c>
      <c r="K221" cm="1" vm="5">
        <f t="array" aca="1" ref="K221" ca="1">_FV(J221,"Población")</f>
        <v>1412175000</v>
      </c>
    </row>
    <row r="222" spans="3:11" x14ac:dyDescent="0.35">
      <c r="C222" s="51"/>
      <c r="D222" t="s">
        <v>302</v>
      </c>
      <c r="E222" t="s">
        <v>425</v>
      </c>
      <c r="F222" t="s">
        <v>711</v>
      </c>
      <c r="G222" s="24">
        <v>45621</v>
      </c>
      <c r="H222" s="25">
        <f t="shared" ca="1" si="3"/>
        <v>344</v>
      </c>
      <c r="I222">
        <v>7306</v>
      </c>
      <c r="J222" t="e" vm="6">
        <v>#VALUE!</v>
      </c>
      <c r="K222" cm="1" vm="7">
        <f t="array" aca="1" ref="K222" ca="1">_FV(J222,"Población")</f>
        <v>46234830</v>
      </c>
    </row>
    <row r="223" spans="3:11" x14ac:dyDescent="0.35">
      <c r="C223" s="51"/>
      <c r="D223" t="s">
        <v>303</v>
      </c>
      <c r="E223" t="s">
        <v>81</v>
      </c>
      <c r="F223" t="s">
        <v>601</v>
      </c>
      <c r="G223" s="24">
        <v>45632</v>
      </c>
      <c r="H223" s="25">
        <f t="shared" ca="1" si="3"/>
        <v>333</v>
      </c>
      <c r="I223">
        <v>7224</v>
      </c>
      <c r="J223" t="e" vm="4">
        <v>#VALUE!</v>
      </c>
      <c r="K223" cm="1" vm="5">
        <f t="array" aca="1" ref="K223" ca="1">_FV(J223,"Población")</f>
        <v>1412175000</v>
      </c>
    </row>
    <row r="224" spans="3:11" x14ac:dyDescent="0.35">
      <c r="C224" s="51"/>
      <c r="D224" t="s">
        <v>304</v>
      </c>
      <c r="E224" t="s">
        <v>127</v>
      </c>
      <c r="F224" t="s">
        <v>493</v>
      </c>
      <c r="G224" s="24">
        <v>45685</v>
      </c>
      <c r="H224" s="25">
        <f t="shared" ca="1" si="3"/>
        <v>280</v>
      </c>
      <c r="I224">
        <v>10978</v>
      </c>
      <c r="J224" t="e" vm="2">
        <v>#VALUE!</v>
      </c>
      <c r="K224" cm="1" vm="3">
        <f t="array" aca="1" ref="K224" ca="1">_FV(J224,"Población")</f>
        <v>215313498</v>
      </c>
    </row>
    <row r="225" spans="3:11" x14ac:dyDescent="0.35">
      <c r="C225" s="51"/>
      <c r="D225" t="s">
        <v>306</v>
      </c>
      <c r="E225" t="s">
        <v>350</v>
      </c>
      <c r="F225" t="s">
        <v>712</v>
      </c>
      <c r="G225" s="24">
        <v>45601</v>
      </c>
      <c r="H225" s="25">
        <f t="shared" ca="1" si="3"/>
        <v>364</v>
      </c>
      <c r="I225">
        <v>7277</v>
      </c>
      <c r="J225" t="e" vm="6">
        <v>#VALUE!</v>
      </c>
      <c r="K225" cm="1" vm="7">
        <f t="array" aca="1" ref="K225" ca="1">_FV(J225,"Población")</f>
        <v>46234830</v>
      </c>
    </row>
    <row r="226" spans="3:11" x14ac:dyDescent="0.35">
      <c r="C226" s="51"/>
      <c r="D226" t="s">
        <v>307</v>
      </c>
      <c r="E226" t="s">
        <v>305</v>
      </c>
      <c r="F226" t="s">
        <v>494</v>
      </c>
      <c r="G226" s="24">
        <v>45640</v>
      </c>
      <c r="H226" s="25">
        <f t="shared" ca="1" si="3"/>
        <v>325</v>
      </c>
      <c r="I226">
        <v>10150</v>
      </c>
      <c r="J226" t="e" vm="2">
        <v>#VALUE!</v>
      </c>
      <c r="K226" cm="1" vm="3">
        <f t="array" aca="1" ref="K226" ca="1">_FV(J226,"Población")</f>
        <v>215313498</v>
      </c>
    </row>
    <row r="227" spans="3:11" x14ac:dyDescent="0.35">
      <c r="C227" s="51"/>
      <c r="D227" t="s">
        <v>308</v>
      </c>
      <c r="E227" t="s">
        <v>81</v>
      </c>
      <c r="F227" t="s">
        <v>602</v>
      </c>
      <c r="G227" s="24">
        <v>45620</v>
      </c>
      <c r="H227" s="25">
        <f t="shared" ca="1" si="3"/>
        <v>345</v>
      </c>
      <c r="I227">
        <v>6534</v>
      </c>
      <c r="J227" t="e" vm="4">
        <v>#VALUE!</v>
      </c>
      <c r="K227" cm="1" vm="5">
        <f t="array" aca="1" ref="K227" ca="1">_FV(J227,"Población")</f>
        <v>1412175000</v>
      </c>
    </row>
    <row r="228" spans="3:11" x14ac:dyDescent="0.35">
      <c r="C228" s="51"/>
      <c r="D228" t="s">
        <v>309</v>
      </c>
      <c r="E228" t="s">
        <v>425</v>
      </c>
      <c r="F228" t="s">
        <v>713</v>
      </c>
      <c r="G228" s="24">
        <v>45620</v>
      </c>
      <c r="H228" s="25">
        <f t="shared" ca="1" si="3"/>
        <v>345</v>
      </c>
      <c r="I228">
        <v>3167</v>
      </c>
      <c r="J228" t="e" vm="6">
        <v>#VALUE!</v>
      </c>
      <c r="K228" cm="1" vm="7">
        <f t="array" aca="1" ref="K228" ca="1">_FV(J228,"Población")</f>
        <v>46234830</v>
      </c>
    </row>
    <row r="229" spans="3:11" x14ac:dyDescent="0.35">
      <c r="C229" s="51"/>
      <c r="D229" t="s">
        <v>310</v>
      </c>
      <c r="E229" t="s">
        <v>110</v>
      </c>
      <c r="F229" t="s">
        <v>495</v>
      </c>
      <c r="G229" s="24">
        <v>45670</v>
      </c>
      <c r="H229" s="25">
        <f t="shared" ca="1" si="3"/>
        <v>295</v>
      </c>
      <c r="I229">
        <v>5089</v>
      </c>
      <c r="J229" t="e" vm="2">
        <v>#VALUE!</v>
      </c>
      <c r="K229" cm="1" vm="3">
        <f t="array" aca="1" ref="K229" ca="1">_FV(J229,"Población")</f>
        <v>215313498</v>
      </c>
    </row>
    <row r="230" spans="3:11" x14ac:dyDescent="0.35">
      <c r="C230" s="51"/>
      <c r="D230" t="s">
        <v>311</v>
      </c>
      <c r="E230" t="s">
        <v>361</v>
      </c>
      <c r="F230" t="s">
        <v>714</v>
      </c>
      <c r="G230" s="24">
        <v>45628</v>
      </c>
      <c r="H230" s="25">
        <f t="shared" ca="1" si="3"/>
        <v>337</v>
      </c>
      <c r="I230">
        <v>14449</v>
      </c>
      <c r="J230" t="e" vm="6">
        <v>#VALUE!</v>
      </c>
      <c r="K230" cm="1" vm="7">
        <f t="array" aca="1" ref="K230" ca="1">_FV(J230,"Población")</f>
        <v>46234830</v>
      </c>
    </row>
    <row r="231" spans="3:11" x14ac:dyDescent="0.35">
      <c r="C231" s="51"/>
      <c r="D231" t="s">
        <v>312</v>
      </c>
      <c r="E231" t="s">
        <v>305</v>
      </c>
      <c r="F231" t="s">
        <v>603</v>
      </c>
      <c r="G231" s="24">
        <v>45603</v>
      </c>
      <c r="H231" s="25">
        <f t="shared" ca="1" si="3"/>
        <v>362</v>
      </c>
      <c r="I231">
        <v>10046</v>
      </c>
      <c r="J231" t="e" vm="4">
        <v>#VALUE!</v>
      </c>
      <c r="K231" cm="1" vm="5">
        <f t="array" aca="1" ref="K231" ca="1">_FV(J231,"Población")</f>
        <v>1412175000</v>
      </c>
    </row>
    <row r="232" spans="3:11" x14ac:dyDescent="0.35">
      <c r="C232" s="51"/>
      <c r="D232" t="s">
        <v>313</v>
      </c>
      <c r="E232" t="s">
        <v>81</v>
      </c>
      <c r="F232" t="s">
        <v>604</v>
      </c>
      <c r="G232" s="24">
        <v>45645</v>
      </c>
      <c r="H232" s="25">
        <f t="shared" ca="1" si="3"/>
        <v>320</v>
      </c>
      <c r="I232">
        <v>1460</v>
      </c>
      <c r="J232" t="e" vm="4">
        <v>#VALUE!</v>
      </c>
      <c r="K232" cm="1" vm="5">
        <f t="array" aca="1" ref="K232" ca="1">_FV(J232,"Población")</f>
        <v>1412175000</v>
      </c>
    </row>
    <row r="233" spans="3:11" x14ac:dyDescent="0.35">
      <c r="C233" s="51"/>
      <c r="D233" t="s">
        <v>314</v>
      </c>
      <c r="E233" t="s">
        <v>110</v>
      </c>
      <c r="F233" t="s">
        <v>496</v>
      </c>
      <c r="G233" s="24">
        <v>45622</v>
      </c>
      <c r="H233" s="25">
        <f t="shared" ca="1" si="3"/>
        <v>343</v>
      </c>
      <c r="I233">
        <v>6454</v>
      </c>
      <c r="J233" t="e" vm="2">
        <v>#VALUE!</v>
      </c>
      <c r="K233" cm="1" vm="3">
        <f t="array" aca="1" ref="K233" ca="1">_FV(J233,"Población")</f>
        <v>215313498</v>
      </c>
    </row>
    <row r="234" spans="3:11" x14ac:dyDescent="0.35">
      <c r="C234" s="51"/>
      <c r="D234" t="s">
        <v>315</v>
      </c>
      <c r="E234" t="s">
        <v>110</v>
      </c>
      <c r="F234" t="s">
        <v>497</v>
      </c>
      <c r="G234" s="24">
        <v>45621</v>
      </c>
      <c r="H234" s="25">
        <f t="shared" ca="1" si="3"/>
        <v>344</v>
      </c>
      <c r="I234">
        <v>13309</v>
      </c>
      <c r="J234" t="e" vm="2">
        <v>#VALUE!</v>
      </c>
      <c r="K234" cm="1" vm="3">
        <f t="array" aca="1" ref="K234" ca="1">_FV(J234,"Población")</f>
        <v>215313498</v>
      </c>
    </row>
    <row r="235" spans="3:11" x14ac:dyDescent="0.35">
      <c r="C235" s="51"/>
      <c r="D235" t="s">
        <v>316</v>
      </c>
      <c r="E235" t="s">
        <v>305</v>
      </c>
      <c r="F235" t="s">
        <v>605</v>
      </c>
      <c r="G235" s="24">
        <v>45682</v>
      </c>
      <c r="H235" s="25">
        <f t="shared" ca="1" si="3"/>
        <v>283</v>
      </c>
      <c r="I235">
        <v>16444</v>
      </c>
      <c r="J235" t="e" vm="4">
        <v>#VALUE!</v>
      </c>
      <c r="K235" cm="1" vm="5">
        <f t="array" aca="1" ref="K235" ca="1">_FV(J235,"Población")</f>
        <v>1412175000</v>
      </c>
    </row>
    <row r="236" spans="3:11" x14ac:dyDescent="0.35">
      <c r="C236" s="51"/>
      <c r="D236" t="s">
        <v>317</v>
      </c>
      <c r="E236" t="s">
        <v>110</v>
      </c>
      <c r="F236" t="s">
        <v>715</v>
      </c>
      <c r="G236" s="24">
        <v>45629</v>
      </c>
      <c r="H236" s="25">
        <f t="shared" ca="1" si="3"/>
        <v>336</v>
      </c>
      <c r="I236">
        <v>8778</v>
      </c>
      <c r="J236" t="e" vm="6">
        <v>#VALUE!</v>
      </c>
      <c r="K236" cm="1" vm="7">
        <f t="array" aca="1" ref="K236" ca="1">_FV(J236,"Población")</f>
        <v>46234830</v>
      </c>
    </row>
    <row r="237" spans="3:11" x14ac:dyDescent="0.35">
      <c r="C237" s="51"/>
      <c r="D237" t="s">
        <v>318</v>
      </c>
      <c r="E237" t="s">
        <v>305</v>
      </c>
      <c r="F237" t="s">
        <v>498</v>
      </c>
      <c r="G237" s="24">
        <v>45682</v>
      </c>
      <c r="H237" s="25">
        <f t="shared" ca="1" si="3"/>
        <v>283</v>
      </c>
      <c r="I237">
        <v>6182</v>
      </c>
      <c r="J237" t="e" vm="2">
        <v>#VALUE!</v>
      </c>
      <c r="K237" cm="1" vm="3">
        <f t="array" aca="1" ref="K237" ca="1">_FV(J237,"Población")</f>
        <v>215313498</v>
      </c>
    </row>
    <row r="238" spans="3:11" x14ac:dyDescent="0.35">
      <c r="C238" s="51"/>
      <c r="D238" t="s">
        <v>319</v>
      </c>
      <c r="E238" t="s">
        <v>127</v>
      </c>
      <c r="F238" t="s">
        <v>606</v>
      </c>
      <c r="G238" s="24">
        <v>45617</v>
      </c>
      <c r="H238" s="25">
        <f t="shared" ca="1" si="3"/>
        <v>348</v>
      </c>
      <c r="I238">
        <v>8306</v>
      </c>
      <c r="J238" t="e" vm="4">
        <v>#VALUE!</v>
      </c>
      <c r="K238" cm="1" vm="5">
        <f t="array" aca="1" ref="K238" ca="1">_FV(J238,"Población")</f>
        <v>1412175000</v>
      </c>
    </row>
    <row r="239" spans="3:11" x14ac:dyDescent="0.35">
      <c r="C239" s="51"/>
      <c r="D239" t="s">
        <v>320</v>
      </c>
      <c r="E239" t="s">
        <v>127</v>
      </c>
      <c r="F239" t="s">
        <v>607</v>
      </c>
      <c r="G239" s="24">
        <v>45650</v>
      </c>
      <c r="H239" s="25">
        <f t="shared" ca="1" si="3"/>
        <v>315</v>
      </c>
      <c r="I239">
        <v>4198</v>
      </c>
      <c r="J239" t="e" vm="4">
        <v>#VALUE!</v>
      </c>
      <c r="K239" cm="1" vm="5">
        <f t="array" aca="1" ref="K239" ca="1">_FV(J239,"Población")</f>
        <v>1412175000</v>
      </c>
    </row>
    <row r="240" spans="3:11" x14ac:dyDescent="0.35">
      <c r="C240" s="51"/>
      <c r="D240" t="s">
        <v>321</v>
      </c>
      <c r="E240" t="s">
        <v>350</v>
      </c>
      <c r="F240" t="s">
        <v>716</v>
      </c>
      <c r="G240" s="24">
        <v>45639</v>
      </c>
      <c r="H240" s="25">
        <f t="shared" ca="1" si="3"/>
        <v>326</v>
      </c>
      <c r="I240">
        <v>10209</v>
      </c>
      <c r="J240" t="e" vm="6">
        <v>#VALUE!</v>
      </c>
      <c r="K240" cm="1" vm="7">
        <f t="array" aca="1" ref="K240" ca="1">_FV(J240,"Población")</f>
        <v>46234830</v>
      </c>
    </row>
    <row r="241" spans="3:11" x14ac:dyDescent="0.35">
      <c r="C241" s="51"/>
      <c r="D241" t="s">
        <v>322</v>
      </c>
      <c r="E241" t="s">
        <v>350</v>
      </c>
      <c r="F241" t="s">
        <v>499</v>
      </c>
      <c r="G241" s="24">
        <v>45685</v>
      </c>
      <c r="H241" s="25">
        <f t="shared" ca="1" si="3"/>
        <v>280</v>
      </c>
      <c r="I241">
        <v>19334</v>
      </c>
      <c r="J241" t="e" vm="2">
        <v>#VALUE!</v>
      </c>
      <c r="K241" cm="1" vm="3">
        <f t="array" aca="1" ref="K241" ca="1">_FV(J241,"Población")</f>
        <v>215313498</v>
      </c>
    </row>
    <row r="242" spans="3:11" x14ac:dyDescent="0.35">
      <c r="C242" s="51"/>
      <c r="D242" t="s">
        <v>323</v>
      </c>
      <c r="E242" t="s">
        <v>305</v>
      </c>
      <c r="F242" t="s">
        <v>717</v>
      </c>
      <c r="G242" s="24">
        <v>45622</v>
      </c>
      <c r="H242" s="25">
        <f t="shared" ca="1" si="3"/>
        <v>343</v>
      </c>
      <c r="I242">
        <v>2264</v>
      </c>
      <c r="J242" t="e" vm="6">
        <v>#VALUE!</v>
      </c>
      <c r="K242" cm="1" vm="7">
        <f t="array" aca="1" ref="K242" ca="1">_FV(J242,"Población")</f>
        <v>46234830</v>
      </c>
    </row>
    <row r="243" spans="3:11" x14ac:dyDescent="0.35">
      <c r="C243" s="51"/>
      <c r="D243" t="s">
        <v>324</v>
      </c>
      <c r="E243" t="s">
        <v>81</v>
      </c>
      <c r="F243" t="s">
        <v>608</v>
      </c>
      <c r="G243" s="24">
        <v>45607</v>
      </c>
      <c r="H243" s="25">
        <f t="shared" ca="1" si="3"/>
        <v>358</v>
      </c>
      <c r="I243">
        <v>8211</v>
      </c>
      <c r="J243" t="e" vm="4">
        <v>#VALUE!</v>
      </c>
      <c r="K243" cm="1" vm="5">
        <f t="array" aca="1" ref="K243" ca="1">_FV(J243,"Población")</f>
        <v>1412175000</v>
      </c>
    </row>
    <row r="244" spans="3:11" x14ac:dyDescent="0.35">
      <c r="C244" s="51"/>
      <c r="D244" t="s">
        <v>325</v>
      </c>
      <c r="E244" t="s">
        <v>305</v>
      </c>
      <c r="F244" t="s">
        <v>500</v>
      </c>
      <c r="G244" s="24">
        <v>45653</v>
      </c>
      <c r="H244" s="25">
        <f t="shared" ca="1" si="3"/>
        <v>312</v>
      </c>
      <c r="I244">
        <v>7100</v>
      </c>
      <c r="J244" t="e" vm="2">
        <v>#VALUE!</v>
      </c>
      <c r="K244" cm="1" vm="3">
        <f t="array" aca="1" ref="K244" ca="1">_FV(J244,"Población")</f>
        <v>215313498</v>
      </c>
    </row>
    <row r="245" spans="3:11" x14ac:dyDescent="0.35">
      <c r="C245" s="51"/>
      <c r="D245" t="s">
        <v>326</v>
      </c>
      <c r="E245" t="s">
        <v>350</v>
      </c>
      <c r="F245" t="s">
        <v>609</v>
      </c>
      <c r="G245" s="24">
        <v>45631</v>
      </c>
      <c r="H245" s="25">
        <f t="shared" ca="1" si="3"/>
        <v>334</v>
      </c>
      <c r="I245">
        <v>11363</v>
      </c>
      <c r="J245" t="e" vm="4">
        <v>#VALUE!</v>
      </c>
      <c r="K245" cm="1" vm="5">
        <f t="array" aca="1" ref="K245" ca="1">_FV(J245,"Población")</f>
        <v>1412175000</v>
      </c>
    </row>
    <row r="246" spans="3:11" x14ac:dyDescent="0.35">
      <c r="C246" s="51"/>
      <c r="D246" t="s">
        <v>327</v>
      </c>
      <c r="E246" t="s">
        <v>110</v>
      </c>
      <c r="F246" t="s">
        <v>610</v>
      </c>
      <c r="G246" s="24">
        <v>45662</v>
      </c>
      <c r="H246" s="25">
        <f t="shared" ca="1" si="3"/>
        <v>303</v>
      </c>
      <c r="I246">
        <v>11234</v>
      </c>
      <c r="J246" t="e" vm="4">
        <v>#VALUE!</v>
      </c>
      <c r="K246" cm="1" vm="5">
        <f t="array" aca="1" ref="K246" ca="1">_FV(J246,"Población")</f>
        <v>1412175000</v>
      </c>
    </row>
    <row r="247" spans="3:11" x14ac:dyDescent="0.35">
      <c r="C247" s="51"/>
      <c r="D247" t="s">
        <v>328</v>
      </c>
      <c r="E247" t="s">
        <v>305</v>
      </c>
      <c r="F247" t="s">
        <v>611</v>
      </c>
      <c r="G247" s="24">
        <v>45674</v>
      </c>
      <c r="H247" s="25">
        <f t="shared" ca="1" si="3"/>
        <v>291</v>
      </c>
      <c r="I247">
        <v>3581</v>
      </c>
      <c r="J247" t="e" vm="4">
        <v>#VALUE!</v>
      </c>
      <c r="K247" cm="1" vm="5">
        <f t="array" aca="1" ref="K247" ca="1">_FV(J247,"Población")</f>
        <v>1412175000</v>
      </c>
    </row>
    <row r="248" spans="3:11" x14ac:dyDescent="0.35">
      <c r="C248" s="51"/>
      <c r="D248" t="s">
        <v>329</v>
      </c>
      <c r="E248" t="s">
        <v>350</v>
      </c>
      <c r="F248" t="s">
        <v>612</v>
      </c>
      <c r="G248" s="24">
        <v>45604</v>
      </c>
      <c r="H248" s="25">
        <f t="shared" ca="1" si="3"/>
        <v>361</v>
      </c>
      <c r="I248">
        <v>13961</v>
      </c>
      <c r="J248" t="e" vm="4">
        <v>#VALUE!</v>
      </c>
      <c r="K248" cm="1" vm="5">
        <f t="array" aca="1" ref="K248" ca="1">_FV(J248,"Población")</f>
        <v>1412175000</v>
      </c>
    </row>
    <row r="249" spans="3:11" x14ac:dyDescent="0.35">
      <c r="C249" s="51"/>
      <c r="D249" t="s">
        <v>330</v>
      </c>
      <c r="E249" t="s">
        <v>361</v>
      </c>
      <c r="F249" t="s">
        <v>501</v>
      </c>
      <c r="G249" s="24">
        <v>45643</v>
      </c>
      <c r="H249" s="25">
        <f t="shared" ca="1" si="3"/>
        <v>322</v>
      </c>
      <c r="I249">
        <v>13046</v>
      </c>
      <c r="J249" t="e" vm="2">
        <v>#VALUE!</v>
      </c>
      <c r="K249" cm="1" vm="3">
        <f t="array" aca="1" ref="K249" ca="1">_FV(J249,"Población")</f>
        <v>215313498</v>
      </c>
    </row>
    <row r="250" spans="3:11" x14ac:dyDescent="0.35">
      <c r="C250" s="51"/>
      <c r="D250" t="s">
        <v>331</v>
      </c>
      <c r="E250" t="s">
        <v>305</v>
      </c>
      <c r="F250" t="s">
        <v>502</v>
      </c>
      <c r="G250" s="24">
        <v>45686</v>
      </c>
      <c r="H250" s="25">
        <f t="shared" ca="1" si="3"/>
        <v>279</v>
      </c>
      <c r="I250">
        <v>16251</v>
      </c>
      <c r="J250" t="e" vm="2">
        <v>#VALUE!</v>
      </c>
      <c r="K250" cm="1" vm="3">
        <f t="array" aca="1" ref="K250" ca="1">_FV(J250,"Población")</f>
        <v>215313498</v>
      </c>
    </row>
    <row r="251" spans="3:11" x14ac:dyDescent="0.35">
      <c r="C251" s="51"/>
      <c r="D251" t="s">
        <v>332</v>
      </c>
      <c r="E251" t="s">
        <v>110</v>
      </c>
      <c r="F251" t="s">
        <v>503</v>
      </c>
      <c r="G251" s="24">
        <v>45609</v>
      </c>
      <c r="H251" s="25">
        <f t="shared" ca="1" si="3"/>
        <v>356</v>
      </c>
      <c r="I251">
        <v>11325</v>
      </c>
      <c r="J251" t="e" vm="2">
        <v>#VALUE!</v>
      </c>
      <c r="K251" cm="1" vm="3">
        <f t="array" aca="1" ref="K251" ca="1">_FV(J251,"Población")</f>
        <v>215313498</v>
      </c>
    </row>
    <row r="252" spans="3:11" x14ac:dyDescent="0.35">
      <c r="C252" s="51"/>
      <c r="D252" t="s">
        <v>333</v>
      </c>
      <c r="E252" t="s">
        <v>110</v>
      </c>
      <c r="F252" t="s">
        <v>504</v>
      </c>
      <c r="G252" s="24">
        <v>45621</v>
      </c>
      <c r="H252" s="25">
        <f t="shared" ca="1" si="3"/>
        <v>344</v>
      </c>
      <c r="I252">
        <v>16792</v>
      </c>
      <c r="J252" t="e" vm="2">
        <v>#VALUE!</v>
      </c>
      <c r="K252" cm="1" vm="3">
        <f t="array" aca="1" ref="K252" ca="1">_FV(J252,"Población")</f>
        <v>215313498</v>
      </c>
    </row>
    <row r="253" spans="3:11" x14ac:dyDescent="0.35">
      <c r="C253" s="51"/>
      <c r="D253" t="s">
        <v>334</v>
      </c>
      <c r="E253" t="s">
        <v>127</v>
      </c>
      <c r="F253" t="s">
        <v>613</v>
      </c>
      <c r="G253" s="24">
        <v>45666</v>
      </c>
      <c r="H253" s="25">
        <f t="shared" ca="1" si="3"/>
        <v>299</v>
      </c>
      <c r="I253">
        <v>3932</v>
      </c>
      <c r="J253" t="e" vm="4">
        <v>#VALUE!</v>
      </c>
      <c r="K253" cm="1" vm="5">
        <f t="array" aca="1" ref="K253" ca="1">_FV(J253,"Población")</f>
        <v>1412175000</v>
      </c>
    </row>
    <row r="254" spans="3:11" x14ac:dyDescent="0.35">
      <c r="C254" s="51"/>
      <c r="D254" t="s">
        <v>335</v>
      </c>
      <c r="E254" t="s">
        <v>127</v>
      </c>
      <c r="F254" t="s">
        <v>505</v>
      </c>
      <c r="G254" s="24">
        <v>45664</v>
      </c>
      <c r="H254" s="25">
        <f t="shared" ca="1" si="3"/>
        <v>301</v>
      </c>
      <c r="I254">
        <v>2455</v>
      </c>
      <c r="J254" t="e" vm="2">
        <v>#VALUE!</v>
      </c>
      <c r="K254" cm="1" vm="3">
        <f t="array" aca="1" ref="K254" ca="1">_FV(J254,"Población")</f>
        <v>215313498</v>
      </c>
    </row>
    <row r="255" spans="3:11" x14ac:dyDescent="0.35">
      <c r="C255" s="51"/>
      <c r="D255" t="s">
        <v>336</v>
      </c>
      <c r="E255" t="s">
        <v>81</v>
      </c>
      <c r="F255" t="s">
        <v>718</v>
      </c>
      <c r="G255" s="24">
        <v>45610</v>
      </c>
      <c r="H255" s="25">
        <f t="shared" ca="1" si="3"/>
        <v>355</v>
      </c>
      <c r="I255">
        <v>17019</v>
      </c>
      <c r="J255" t="e" vm="6">
        <v>#VALUE!</v>
      </c>
      <c r="K255" cm="1" vm="7">
        <f t="array" aca="1" ref="K255" ca="1">_FV(J255,"Población")</f>
        <v>46234830</v>
      </c>
    </row>
    <row r="256" spans="3:11" x14ac:dyDescent="0.35">
      <c r="C256" s="51"/>
      <c r="D256" t="s">
        <v>337</v>
      </c>
      <c r="E256" t="s">
        <v>127</v>
      </c>
      <c r="F256" t="s">
        <v>506</v>
      </c>
      <c r="G256" s="24">
        <v>45687</v>
      </c>
      <c r="H256" s="25">
        <f t="shared" ca="1" si="3"/>
        <v>278</v>
      </c>
      <c r="I256">
        <v>17263</v>
      </c>
      <c r="J256" t="e" vm="2">
        <v>#VALUE!</v>
      </c>
      <c r="K256" cm="1" vm="3">
        <f t="array" aca="1" ref="K256" ca="1">_FV(J256,"Población")</f>
        <v>215313498</v>
      </c>
    </row>
    <row r="257" spans="3:11" x14ac:dyDescent="0.35">
      <c r="C257" s="51"/>
      <c r="D257" t="s">
        <v>338</v>
      </c>
      <c r="E257" t="s">
        <v>361</v>
      </c>
      <c r="F257" t="s">
        <v>719</v>
      </c>
      <c r="G257" s="24">
        <v>45681</v>
      </c>
      <c r="H257" s="25">
        <f t="shared" ca="1" si="3"/>
        <v>284</v>
      </c>
      <c r="I257">
        <v>16448</v>
      </c>
      <c r="J257" t="e" vm="6">
        <v>#VALUE!</v>
      </c>
      <c r="K257" cm="1" vm="7">
        <f t="array" aca="1" ref="K257" ca="1">_FV(J257,"Población")</f>
        <v>46234830</v>
      </c>
    </row>
    <row r="258" spans="3:11" x14ac:dyDescent="0.35">
      <c r="C258" s="51"/>
      <c r="D258" t="s">
        <v>339</v>
      </c>
      <c r="E258" t="s">
        <v>425</v>
      </c>
      <c r="F258" t="s">
        <v>507</v>
      </c>
      <c r="G258" s="24">
        <v>45631</v>
      </c>
      <c r="H258" s="25">
        <f t="shared" ca="1" si="3"/>
        <v>334</v>
      </c>
      <c r="I258">
        <v>14743</v>
      </c>
      <c r="J258" t="e" vm="2">
        <v>#VALUE!</v>
      </c>
      <c r="K258" cm="1" vm="3">
        <f t="array" aca="1" ref="K258" ca="1">_FV(J258,"Población")</f>
        <v>215313498</v>
      </c>
    </row>
    <row r="259" spans="3:11" x14ac:dyDescent="0.35">
      <c r="C259" s="51"/>
      <c r="D259" t="s">
        <v>340</v>
      </c>
      <c r="E259" t="s">
        <v>110</v>
      </c>
      <c r="F259" t="s">
        <v>508</v>
      </c>
      <c r="G259" s="24">
        <v>45599</v>
      </c>
      <c r="H259" s="25">
        <f t="shared" ca="1" si="3"/>
        <v>366</v>
      </c>
      <c r="I259">
        <v>4909</v>
      </c>
      <c r="J259" t="e" vm="2">
        <v>#VALUE!</v>
      </c>
      <c r="K259" cm="1" vm="3">
        <f t="array" aca="1" ref="K259" ca="1">_FV(J259,"Población")</f>
        <v>215313498</v>
      </c>
    </row>
    <row r="260" spans="3:11" x14ac:dyDescent="0.35">
      <c r="C260" s="51"/>
      <c r="D260" t="s">
        <v>341</v>
      </c>
      <c r="E260" t="s">
        <v>425</v>
      </c>
      <c r="F260" t="s">
        <v>509</v>
      </c>
      <c r="G260" s="24">
        <v>45621</v>
      </c>
      <c r="H260" s="25">
        <f t="shared" ref="H260:H323" ca="1" si="4">TODAY()-G260</f>
        <v>344</v>
      </c>
      <c r="I260">
        <v>11112</v>
      </c>
      <c r="J260" t="e" vm="2">
        <v>#VALUE!</v>
      </c>
      <c r="K260" cm="1" vm="3">
        <f t="array" aca="1" ref="K260" ca="1">_FV(J260,"Población")</f>
        <v>215313498</v>
      </c>
    </row>
    <row r="261" spans="3:11" x14ac:dyDescent="0.35">
      <c r="C261" s="51"/>
      <c r="D261" t="s">
        <v>342</v>
      </c>
      <c r="E261" t="s">
        <v>81</v>
      </c>
      <c r="F261" t="s">
        <v>510</v>
      </c>
      <c r="G261" s="24">
        <v>45636</v>
      </c>
      <c r="H261" s="25">
        <f t="shared" ca="1" si="4"/>
        <v>329</v>
      </c>
      <c r="I261">
        <v>4305</v>
      </c>
      <c r="J261" t="e" vm="2">
        <v>#VALUE!</v>
      </c>
      <c r="K261" cm="1" vm="3">
        <f t="array" aca="1" ref="K261" ca="1">_FV(J261,"Población")</f>
        <v>215313498</v>
      </c>
    </row>
    <row r="262" spans="3:11" x14ac:dyDescent="0.35">
      <c r="C262" s="51"/>
      <c r="D262" t="s">
        <v>343</v>
      </c>
      <c r="E262" t="s">
        <v>110</v>
      </c>
      <c r="F262" t="s">
        <v>614</v>
      </c>
      <c r="G262" s="24">
        <v>45640</v>
      </c>
      <c r="H262" s="25">
        <f t="shared" ca="1" si="4"/>
        <v>325</v>
      </c>
      <c r="I262">
        <v>18114</v>
      </c>
      <c r="J262" t="e" vm="4">
        <v>#VALUE!</v>
      </c>
      <c r="K262" cm="1" vm="5">
        <f t="array" aca="1" ref="K262" ca="1">_FV(J262,"Población")</f>
        <v>1412175000</v>
      </c>
    </row>
    <row r="263" spans="3:11" x14ac:dyDescent="0.35">
      <c r="C263" s="51"/>
      <c r="D263" t="s">
        <v>344</v>
      </c>
      <c r="E263" t="s">
        <v>305</v>
      </c>
      <c r="F263" t="s">
        <v>720</v>
      </c>
      <c r="G263" s="24">
        <v>45683</v>
      </c>
      <c r="H263" s="25">
        <f t="shared" ca="1" si="4"/>
        <v>282</v>
      </c>
      <c r="I263">
        <v>2847</v>
      </c>
      <c r="J263" t="e" vm="6">
        <v>#VALUE!</v>
      </c>
      <c r="K263" cm="1" vm="7">
        <f t="array" aca="1" ref="K263" ca="1">_FV(J263,"Población")</f>
        <v>46234830</v>
      </c>
    </row>
    <row r="264" spans="3:11" x14ac:dyDescent="0.35">
      <c r="C264" s="51"/>
      <c r="D264" t="s">
        <v>345</v>
      </c>
      <c r="E264" t="s">
        <v>110</v>
      </c>
      <c r="F264" t="s">
        <v>721</v>
      </c>
      <c r="G264" s="24">
        <v>45621</v>
      </c>
      <c r="H264" s="25">
        <f t="shared" ca="1" si="4"/>
        <v>344</v>
      </c>
      <c r="I264">
        <v>5832</v>
      </c>
      <c r="J264" t="e" vm="6">
        <v>#VALUE!</v>
      </c>
      <c r="K264" cm="1" vm="7">
        <f t="array" aca="1" ref="K264" ca="1">_FV(J264,"Población")</f>
        <v>46234830</v>
      </c>
    </row>
    <row r="265" spans="3:11" x14ac:dyDescent="0.35">
      <c r="C265" s="51"/>
      <c r="D265" t="s">
        <v>346</v>
      </c>
      <c r="E265" t="s">
        <v>350</v>
      </c>
      <c r="F265" t="s">
        <v>722</v>
      </c>
      <c r="G265" s="24">
        <v>45625</v>
      </c>
      <c r="H265" s="25">
        <f t="shared" ca="1" si="4"/>
        <v>340</v>
      </c>
      <c r="I265">
        <v>8181</v>
      </c>
      <c r="J265" t="e" vm="6">
        <v>#VALUE!</v>
      </c>
      <c r="K265" cm="1" vm="7">
        <f t="array" aca="1" ref="K265" ca="1">_FV(J265,"Población")</f>
        <v>46234830</v>
      </c>
    </row>
    <row r="266" spans="3:11" x14ac:dyDescent="0.35">
      <c r="C266" s="51"/>
      <c r="D266" t="s">
        <v>347</v>
      </c>
      <c r="E266" t="s">
        <v>110</v>
      </c>
      <c r="F266" t="s">
        <v>723</v>
      </c>
      <c r="G266" s="24">
        <v>45668</v>
      </c>
      <c r="H266" s="25">
        <f t="shared" ca="1" si="4"/>
        <v>297</v>
      </c>
      <c r="I266">
        <v>7917</v>
      </c>
      <c r="J266" t="e" vm="6">
        <v>#VALUE!</v>
      </c>
      <c r="K266" cm="1" vm="7">
        <f t="array" aca="1" ref="K266" ca="1">_FV(J266,"Población")</f>
        <v>46234830</v>
      </c>
    </row>
    <row r="267" spans="3:11" x14ac:dyDescent="0.35">
      <c r="C267" s="51"/>
      <c r="D267" t="s">
        <v>348</v>
      </c>
      <c r="E267" t="s">
        <v>425</v>
      </c>
      <c r="F267" t="s">
        <v>511</v>
      </c>
      <c r="G267" s="24">
        <v>45647</v>
      </c>
      <c r="H267" s="25">
        <f t="shared" ca="1" si="4"/>
        <v>318</v>
      </c>
      <c r="I267">
        <v>13125</v>
      </c>
      <c r="J267" t="e" vm="2">
        <v>#VALUE!</v>
      </c>
      <c r="K267" cm="1" vm="3">
        <f t="array" aca="1" ref="K267" ca="1">_FV(J267,"Población")</f>
        <v>215313498</v>
      </c>
    </row>
    <row r="268" spans="3:11" x14ac:dyDescent="0.35">
      <c r="C268" s="51"/>
      <c r="D268" t="s">
        <v>349</v>
      </c>
      <c r="E268" t="s">
        <v>81</v>
      </c>
      <c r="F268" t="s">
        <v>512</v>
      </c>
      <c r="G268" s="24">
        <v>45677</v>
      </c>
      <c r="H268" s="25">
        <f t="shared" ca="1" si="4"/>
        <v>288</v>
      </c>
      <c r="I268">
        <v>3063</v>
      </c>
      <c r="J268" t="e" vm="2">
        <v>#VALUE!</v>
      </c>
      <c r="K268" cm="1" vm="3">
        <f t="array" aca="1" ref="K268" ca="1">_FV(J268,"Población")</f>
        <v>215313498</v>
      </c>
    </row>
    <row r="269" spans="3:11" x14ac:dyDescent="0.35">
      <c r="C269" s="51"/>
      <c r="D269" t="s">
        <v>351</v>
      </c>
      <c r="E269" t="s">
        <v>110</v>
      </c>
      <c r="F269" t="s">
        <v>724</v>
      </c>
      <c r="G269" s="24">
        <v>45627</v>
      </c>
      <c r="H269" s="25">
        <f t="shared" ca="1" si="4"/>
        <v>338</v>
      </c>
      <c r="I269">
        <v>3512</v>
      </c>
      <c r="J269" t="e" vm="6">
        <v>#VALUE!</v>
      </c>
      <c r="K269" cm="1" vm="7">
        <f t="array" aca="1" ref="K269" ca="1">_FV(J269,"Población")</f>
        <v>46234830</v>
      </c>
    </row>
    <row r="270" spans="3:11" x14ac:dyDescent="0.35">
      <c r="C270" s="51"/>
      <c r="D270" t="s">
        <v>352</v>
      </c>
      <c r="E270" t="s">
        <v>81</v>
      </c>
      <c r="F270" t="s">
        <v>725</v>
      </c>
      <c r="G270" s="24">
        <v>45659</v>
      </c>
      <c r="H270" s="25">
        <f t="shared" ca="1" si="4"/>
        <v>306</v>
      </c>
      <c r="I270">
        <v>17207</v>
      </c>
      <c r="J270" t="e" vm="6">
        <v>#VALUE!</v>
      </c>
      <c r="K270" cm="1" vm="7">
        <f t="array" aca="1" ref="K270" ca="1">_FV(J270,"Población")</f>
        <v>46234830</v>
      </c>
    </row>
    <row r="271" spans="3:11" x14ac:dyDescent="0.35">
      <c r="C271" s="51"/>
      <c r="D271" t="s">
        <v>353</v>
      </c>
      <c r="E271" t="s">
        <v>425</v>
      </c>
      <c r="F271" t="s">
        <v>615</v>
      </c>
      <c r="G271" s="24">
        <v>45651</v>
      </c>
      <c r="H271" s="25">
        <f t="shared" ca="1" si="4"/>
        <v>314</v>
      </c>
      <c r="I271">
        <v>3978</v>
      </c>
      <c r="J271" t="e" vm="4">
        <v>#VALUE!</v>
      </c>
      <c r="K271" cm="1" vm="5">
        <f t="array" aca="1" ref="K271" ca="1">_FV(J271,"Población")</f>
        <v>1412175000</v>
      </c>
    </row>
    <row r="272" spans="3:11" x14ac:dyDescent="0.35">
      <c r="C272" s="51"/>
      <c r="D272" t="s">
        <v>354</v>
      </c>
      <c r="E272" t="s">
        <v>110</v>
      </c>
      <c r="F272" t="s">
        <v>616</v>
      </c>
      <c r="G272" s="24">
        <v>45683</v>
      </c>
      <c r="H272" s="25">
        <f t="shared" ca="1" si="4"/>
        <v>282</v>
      </c>
      <c r="I272">
        <v>2325</v>
      </c>
      <c r="J272" t="e" vm="4">
        <v>#VALUE!</v>
      </c>
      <c r="K272" cm="1" vm="5">
        <f t="array" aca="1" ref="K272" ca="1">_FV(J272,"Población")</f>
        <v>1412175000</v>
      </c>
    </row>
    <row r="273" spans="3:11" x14ac:dyDescent="0.35">
      <c r="C273" s="51"/>
      <c r="D273" t="s">
        <v>355</v>
      </c>
      <c r="E273" t="s">
        <v>425</v>
      </c>
      <c r="F273" t="s">
        <v>726</v>
      </c>
      <c r="G273" s="24">
        <v>45605</v>
      </c>
      <c r="H273" s="25">
        <f t="shared" ca="1" si="4"/>
        <v>360</v>
      </c>
      <c r="I273">
        <v>10022</v>
      </c>
      <c r="J273" t="e" vm="6">
        <v>#VALUE!</v>
      </c>
      <c r="K273" cm="1" vm="7">
        <f t="array" aca="1" ref="K273" ca="1">_FV(J273,"Población")</f>
        <v>46234830</v>
      </c>
    </row>
    <row r="274" spans="3:11" x14ac:dyDescent="0.35">
      <c r="C274" s="51"/>
      <c r="D274" t="s">
        <v>356</v>
      </c>
      <c r="E274" t="s">
        <v>361</v>
      </c>
      <c r="F274" t="s">
        <v>617</v>
      </c>
      <c r="G274" s="24">
        <v>45665</v>
      </c>
      <c r="H274" s="25">
        <f t="shared" ca="1" si="4"/>
        <v>300</v>
      </c>
      <c r="I274">
        <v>14535</v>
      </c>
      <c r="J274" t="e" vm="4">
        <v>#VALUE!</v>
      </c>
      <c r="K274" cm="1" vm="5">
        <f t="array" aca="1" ref="K274" ca="1">_FV(J274,"Población")</f>
        <v>1412175000</v>
      </c>
    </row>
    <row r="275" spans="3:11" x14ac:dyDescent="0.35">
      <c r="C275" s="51"/>
      <c r="D275" t="s">
        <v>357</v>
      </c>
      <c r="E275" t="s">
        <v>305</v>
      </c>
      <c r="F275" t="s">
        <v>727</v>
      </c>
      <c r="G275" s="24">
        <v>45659</v>
      </c>
      <c r="H275" s="25">
        <f t="shared" ca="1" si="4"/>
        <v>306</v>
      </c>
      <c r="I275">
        <v>8991</v>
      </c>
      <c r="J275" t="e" vm="6">
        <v>#VALUE!</v>
      </c>
      <c r="K275" cm="1" vm="7">
        <f t="array" aca="1" ref="K275" ca="1">_FV(J275,"Población")</f>
        <v>46234830</v>
      </c>
    </row>
    <row r="276" spans="3:11" x14ac:dyDescent="0.35">
      <c r="C276" s="51"/>
      <c r="D276" t="s">
        <v>358</v>
      </c>
      <c r="E276" t="s">
        <v>127</v>
      </c>
      <c r="F276" t="s">
        <v>513</v>
      </c>
      <c r="G276" s="24">
        <v>45651</v>
      </c>
      <c r="H276" s="25">
        <f t="shared" ca="1" si="4"/>
        <v>314</v>
      </c>
      <c r="I276">
        <v>7126</v>
      </c>
      <c r="J276" t="e" vm="2">
        <v>#VALUE!</v>
      </c>
      <c r="K276" cm="1" vm="3">
        <f t="array" aca="1" ref="K276" ca="1">_FV(J276,"Población")</f>
        <v>215313498</v>
      </c>
    </row>
    <row r="277" spans="3:11" x14ac:dyDescent="0.35">
      <c r="C277" s="51"/>
      <c r="D277" t="s">
        <v>359</v>
      </c>
      <c r="E277" t="s">
        <v>305</v>
      </c>
      <c r="F277" t="s">
        <v>514</v>
      </c>
      <c r="G277" s="24">
        <v>45615</v>
      </c>
      <c r="H277" s="25">
        <f t="shared" ca="1" si="4"/>
        <v>350</v>
      </c>
      <c r="I277">
        <v>3725</v>
      </c>
      <c r="J277" t="e" vm="2">
        <v>#VALUE!</v>
      </c>
      <c r="K277" cm="1" vm="3">
        <f t="array" aca="1" ref="K277" ca="1">_FV(J277,"Población")</f>
        <v>215313498</v>
      </c>
    </row>
    <row r="278" spans="3:11" x14ac:dyDescent="0.35">
      <c r="C278" s="51"/>
      <c r="D278" t="s">
        <v>360</v>
      </c>
      <c r="E278" t="s">
        <v>425</v>
      </c>
      <c r="F278" t="s">
        <v>618</v>
      </c>
      <c r="G278" s="24">
        <v>45687</v>
      </c>
      <c r="H278" s="25">
        <f t="shared" ca="1" si="4"/>
        <v>278</v>
      </c>
      <c r="I278">
        <v>17623</v>
      </c>
      <c r="J278" t="e" vm="4">
        <v>#VALUE!</v>
      </c>
      <c r="K278" cm="1" vm="5">
        <f t="array" aca="1" ref="K278" ca="1">_FV(J278,"Población")</f>
        <v>1412175000</v>
      </c>
    </row>
    <row r="279" spans="3:11" x14ac:dyDescent="0.35">
      <c r="C279" s="51"/>
      <c r="D279" t="s">
        <v>362</v>
      </c>
      <c r="E279" t="s">
        <v>305</v>
      </c>
      <c r="F279" t="s">
        <v>728</v>
      </c>
      <c r="G279" s="24">
        <v>45672</v>
      </c>
      <c r="H279" s="25">
        <f t="shared" ca="1" si="4"/>
        <v>293</v>
      </c>
      <c r="I279">
        <v>14648</v>
      </c>
      <c r="J279" t="e" vm="6">
        <v>#VALUE!</v>
      </c>
      <c r="K279" cm="1" vm="7">
        <f t="array" aca="1" ref="K279" ca="1">_FV(J279,"Población")</f>
        <v>46234830</v>
      </c>
    </row>
    <row r="280" spans="3:11" x14ac:dyDescent="0.35">
      <c r="C280" s="51"/>
      <c r="D280" t="s">
        <v>363</v>
      </c>
      <c r="E280" t="s">
        <v>110</v>
      </c>
      <c r="F280" t="s">
        <v>515</v>
      </c>
      <c r="G280" s="24">
        <v>45629</v>
      </c>
      <c r="H280" s="25">
        <f t="shared" ca="1" si="4"/>
        <v>336</v>
      </c>
      <c r="I280">
        <v>15490</v>
      </c>
      <c r="J280" t="e" vm="2">
        <v>#VALUE!</v>
      </c>
      <c r="K280" cm="1" vm="3">
        <f t="array" aca="1" ref="K280" ca="1">_FV(J280,"Población")</f>
        <v>215313498</v>
      </c>
    </row>
    <row r="281" spans="3:11" x14ac:dyDescent="0.35">
      <c r="C281" s="51"/>
      <c r="D281" t="s">
        <v>364</v>
      </c>
      <c r="E281" t="s">
        <v>110</v>
      </c>
      <c r="F281" t="s">
        <v>619</v>
      </c>
      <c r="G281" s="24">
        <v>45609</v>
      </c>
      <c r="H281" s="25">
        <f t="shared" ca="1" si="4"/>
        <v>356</v>
      </c>
      <c r="I281">
        <v>16712</v>
      </c>
      <c r="J281" t="e" vm="4">
        <v>#VALUE!</v>
      </c>
      <c r="K281" cm="1" vm="5">
        <f t="array" aca="1" ref="K281" ca="1">_FV(J281,"Población")</f>
        <v>1412175000</v>
      </c>
    </row>
    <row r="282" spans="3:11" x14ac:dyDescent="0.35">
      <c r="C282" s="51"/>
      <c r="D282" t="s">
        <v>365</v>
      </c>
      <c r="E282" t="s">
        <v>350</v>
      </c>
      <c r="F282" t="s">
        <v>729</v>
      </c>
      <c r="G282" s="24">
        <v>45677</v>
      </c>
      <c r="H282" s="25">
        <f t="shared" ca="1" si="4"/>
        <v>288</v>
      </c>
      <c r="I282">
        <v>5865</v>
      </c>
      <c r="J282" t="e" vm="6">
        <v>#VALUE!</v>
      </c>
      <c r="K282" cm="1" vm="7">
        <f t="array" aca="1" ref="K282" ca="1">_FV(J282,"Población")</f>
        <v>46234830</v>
      </c>
    </row>
    <row r="283" spans="3:11" x14ac:dyDescent="0.35">
      <c r="C283" s="51"/>
      <c r="D283" t="s">
        <v>366</v>
      </c>
      <c r="E283" t="s">
        <v>350</v>
      </c>
      <c r="F283" t="s">
        <v>516</v>
      </c>
      <c r="G283" s="24">
        <v>45603</v>
      </c>
      <c r="H283" s="25">
        <f t="shared" ca="1" si="4"/>
        <v>362</v>
      </c>
      <c r="I283">
        <v>12072</v>
      </c>
      <c r="J283" t="e" vm="2">
        <v>#VALUE!</v>
      </c>
      <c r="K283" cm="1" vm="3">
        <f t="array" aca="1" ref="K283" ca="1">_FV(J283,"Población")</f>
        <v>215313498</v>
      </c>
    </row>
    <row r="284" spans="3:11" x14ac:dyDescent="0.35">
      <c r="C284" s="51"/>
      <c r="D284" t="s">
        <v>367</v>
      </c>
      <c r="E284" t="s">
        <v>81</v>
      </c>
      <c r="F284" t="s">
        <v>517</v>
      </c>
      <c r="G284" s="24">
        <v>45620</v>
      </c>
      <c r="H284" s="25">
        <f t="shared" ca="1" si="4"/>
        <v>345</v>
      </c>
      <c r="I284">
        <v>2512</v>
      </c>
      <c r="J284" t="e" vm="2">
        <v>#VALUE!</v>
      </c>
      <c r="K284" cm="1" vm="3">
        <f t="array" aca="1" ref="K284" ca="1">_FV(J284,"Población")</f>
        <v>215313498</v>
      </c>
    </row>
    <row r="285" spans="3:11" x14ac:dyDescent="0.35">
      <c r="C285" s="51"/>
      <c r="D285" t="s">
        <v>368</v>
      </c>
      <c r="E285" t="s">
        <v>127</v>
      </c>
      <c r="F285" t="s">
        <v>518</v>
      </c>
      <c r="G285" s="24">
        <v>45611</v>
      </c>
      <c r="H285" s="25">
        <f t="shared" ca="1" si="4"/>
        <v>354</v>
      </c>
      <c r="I285">
        <v>19485</v>
      </c>
      <c r="J285" t="e" vm="2">
        <v>#VALUE!</v>
      </c>
      <c r="K285" cm="1" vm="3">
        <f t="array" aca="1" ref="K285" ca="1">_FV(J285,"Población")</f>
        <v>215313498</v>
      </c>
    </row>
    <row r="286" spans="3:11" x14ac:dyDescent="0.35">
      <c r="C286" s="51"/>
      <c r="D286" t="s">
        <v>369</v>
      </c>
      <c r="E286" t="s">
        <v>81</v>
      </c>
      <c r="F286" t="s">
        <v>730</v>
      </c>
      <c r="G286" s="24">
        <v>45661</v>
      </c>
      <c r="H286" s="25">
        <f t="shared" ca="1" si="4"/>
        <v>304</v>
      </c>
      <c r="I286">
        <v>11974</v>
      </c>
      <c r="J286" t="e" vm="6">
        <v>#VALUE!</v>
      </c>
      <c r="K286" cm="1" vm="7">
        <f t="array" aca="1" ref="K286" ca="1">_FV(J286,"Población")</f>
        <v>46234830</v>
      </c>
    </row>
    <row r="287" spans="3:11" x14ac:dyDescent="0.35">
      <c r="C287" s="51"/>
      <c r="D287" t="s">
        <v>370</v>
      </c>
      <c r="E287" t="s">
        <v>425</v>
      </c>
      <c r="F287" t="s">
        <v>620</v>
      </c>
      <c r="G287" s="24">
        <v>45645</v>
      </c>
      <c r="H287" s="25">
        <f t="shared" ca="1" si="4"/>
        <v>320</v>
      </c>
      <c r="I287">
        <v>1042</v>
      </c>
      <c r="J287" t="e" vm="4">
        <v>#VALUE!</v>
      </c>
      <c r="K287" cm="1" vm="5">
        <f t="array" aca="1" ref="K287" ca="1">_FV(J287,"Población")</f>
        <v>1412175000</v>
      </c>
    </row>
    <row r="288" spans="3:11" x14ac:dyDescent="0.35">
      <c r="C288" s="51"/>
      <c r="D288" t="s">
        <v>371</v>
      </c>
      <c r="E288" t="s">
        <v>127</v>
      </c>
      <c r="F288" t="s">
        <v>519</v>
      </c>
      <c r="G288" s="24">
        <v>45623</v>
      </c>
      <c r="H288" s="25">
        <f t="shared" ca="1" si="4"/>
        <v>342</v>
      </c>
      <c r="I288">
        <v>14212</v>
      </c>
      <c r="J288" t="e" vm="2">
        <v>#VALUE!</v>
      </c>
      <c r="K288" cm="1" vm="3">
        <f t="array" aca="1" ref="K288" ca="1">_FV(J288,"Población")</f>
        <v>215313498</v>
      </c>
    </row>
    <row r="289" spans="3:11" x14ac:dyDescent="0.35">
      <c r="C289" s="51"/>
      <c r="D289" t="s">
        <v>372</v>
      </c>
      <c r="E289" t="s">
        <v>425</v>
      </c>
      <c r="F289" t="s">
        <v>520</v>
      </c>
      <c r="G289" s="24">
        <v>45682</v>
      </c>
      <c r="H289" s="25">
        <f t="shared" ca="1" si="4"/>
        <v>283</v>
      </c>
      <c r="I289">
        <v>15798</v>
      </c>
      <c r="J289" t="e" vm="2">
        <v>#VALUE!</v>
      </c>
      <c r="K289" cm="1" vm="3">
        <f t="array" aca="1" ref="K289" ca="1">_FV(J289,"Población")</f>
        <v>215313498</v>
      </c>
    </row>
    <row r="290" spans="3:11" x14ac:dyDescent="0.35">
      <c r="C290" s="51"/>
      <c r="D290" t="s">
        <v>373</v>
      </c>
      <c r="E290" t="s">
        <v>350</v>
      </c>
      <c r="F290" t="s">
        <v>731</v>
      </c>
      <c r="G290" s="24">
        <v>45663</v>
      </c>
      <c r="H290" s="25">
        <f t="shared" ca="1" si="4"/>
        <v>302</v>
      </c>
      <c r="I290">
        <v>2448</v>
      </c>
      <c r="J290" t="e" vm="6">
        <v>#VALUE!</v>
      </c>
      <c r="K290" cm="1" vm="7">
        <f t="array" aca="1" ref="K290" ca="1">_FV(J290,"Población")</f>
        <v>46234830</v>
      </c>
    </row>
    <row r="291" spans="3:11" x14ac:dyDescent="0.35">
      <c r="C291" s="51"/>
      <c r="D291" t="s">
        <v>374</v>
      </c>
      <c r="E291" t="s">
        <v>425</v>
      </c>
      <c r="F291" t="s">
        <v>732</v>
      </c>
      <c r="G291" s="24">
        <v>45624</v>
      </c>
      <c r="H291" s="25">
        <f t="shared" ca="1" si="4"/>
        <v>341</v>
      </c>
      <c r="I291">
        <v>2633</v>
      </c>
      <c r="J291" t="e" vm="6">
        <v>#VALUE!</v>
      </c>
      <c r="K291" cm="1" vm="7">
        <f t="array" aca="1" ref="K291" ca="1">_FV(J291,"Población")</f>
        <v>46234830</v>
      </c>
    </row>
    <row r="292" spans="3:11" x14ac:dyDescent="0.35">
      <c r="C292" s="51"/>
      <c r="D292" t="s">
        <v>375</v>
      </c>
      <c r="E292" t="s">
        <v>361</v>
      </c>
      <c r="F292" t="s">
        <v>621</v>
      </c>
      <c r="G292" s="24">
        <v>45664</v>
      </c>
      <c r="H292" s="25">
        <f t="shared" ca="1" si="4"/>
        <v>301</v>
      </c>
      <c r="I292">
        <v>10318</v>
      </c>
      <c r="J292" t="e" vm="4">
        <v>#VALUE!</v>
      </c>
      <c r="K292" cm="1" vm="5">
        <f t="array" aca="1" ref="K292" ca="1">_FV(J292,"Población")</f>
        <v>1412175000</v>
      </c>
    </row>
    <row r="293" spans="3:11" x14ac:dyDescent="0.35">
      <c r="C293" s="51"/>
      <c r="D293" t="s">
        <v>376</v>
      </c>
      <c r="E293" t="s">
        <v>305</v>
      </c>
      <c r="F293" t="s">
        <v>733</v>
      </c>
      <c r="G293" s="24">
        <v>45624</v>
      </c>
      <c r="H293" s="25">
        <f t="shared" ca="1" si="4"/>
        <v>341</v>
      </c>
      <c r="I293">
        <v>7409</v>
      </c>
      <c r="J293" t="e" vm="6">
        <v>#VALUE!</v>
      </c>
      <c r="K293" cm="1" vm="7">
        <f t="array" aca="1" ref="K293" ca="1">_FV(J293,"Población")</f>
        <v>46234830</v>
      </c>
    </row>
    <row r="294" spans="3:11" x14ac:dyDescent="0.35">
      <c r="C294" s="51"/>
      <c r="D294" t="s">
        <v>377</v>
      </c>
      <c r="E294" t="s">
        <v>127</v>
      </c>
      <c r="F294" t="s">
        <v>521</v>
      </c>
      <c r="G294" s="24">
        <v>45639</v>
      </c>
      <c r="H294" s="25">
        <f t="shared" ca="1" si="4"/>
        <v>326</v>
      </c>
      <c r="I294">
        <v>15930</v>
      </c>
      <c r="J294" t="e" vm="2">
        <v>#VALUE!</v>
      </c>
      <c r="K294" cm="1" vm="3">
        <f t="array" aca="1" ref="K294" ca="1">_FV(J294,"Población")</f>
        <v>215313498</v>
      </c>
    </row>
    <row r="295" spans="3:11" x14ac:dyDescent="0.35">
      <c r="C295" s="51"/>
      <c r="D295" t="s">
        <v>378</v>
      </c>
      <c r="E295" t="s">
        <v>350</v>
      </c>
      <c r="F295" t="s">
        <v>522</v>
      </c>
      <c r="G295" s="24">
        <v>45639</v>
      </c>
      <c r="H295" s="25">
        <f t="shared" ca="1" si="4"/>
        <v>326</v>
      </c>
      <c r="I295">
        <v>12780</v>
      </c>
      <c r="J295" t="e" vm="2">
        <v>#VALUE!</v>
      </c>
      <c r="K295" cm="1" vm="3">
        <f t="array" aca="1" ref="K295" ca="1">_FV(J295,"Población")</f>
        <v>215313498</v>
      </c>
    </row>
    <row r="296" spans="3:11" x14ac:dyDescent="0.35">
      <c r="C296" s="51"/>
      <c r="D296" t="s">
        <v>379</v>
      </c>
      <c r="E296" t="s">
        <v>305</v>
      </c>
      <c r="F296" t="s">
        <v>523</v>
      </c>
      <c r="G296" s="24">
        <v>45681</v>
      </c>
      <c r="H296" s="25">
        <f t="shared" ca="1" si="4"/>
        <v>284</v>
      </c>
      <c r="I296">
        <v>11660</v>
      </c>
      <c r="J296" t="e" vm="2">
        <v>#VALUE!</v>
      </c>
      <c r="K296" cm="1" vm="3">
        <f t="array" aca="1" ref="K296" ca="1">_FV(J296,"Población")</f>
        <v>215313498</v>
      </c>
    </row>
    <row r="297" spans="3:11" x14ac:dyDescent="0.35">
      <c r="C297" s="51"/>
      <c r="D297" t="s">
        <v>380</v>
      </c>
      <c r="E297" t="s">
        <v>110</v>
      </c>
      <c r="F297" t="s">
        <v>622</v>
      </c>
      <c r="G297" s="24">
        <v>45621</v>
      </c>
      <c r="H297" s="25">
        <f t="shared" ca="1" si="4"/>
        <v>344</v>
      </c>
      <c r="I297">
        <v>7233</v>
      </c>
      <c r="J297" t="e" vm="4">
        <v>#VALUE!</v>
      </c>
      <c r="K297" cm="1" vm="5">
        <f t="array" aca="1" ref="K297" ca="1">_FV(J297,"Población")</f>
        <v>1412175000</v>
      </c>
    </row>
    <row r="298" spans="3:11" x14ac:dyDescent="0.35">
      <c r="C298" s="51"/>
      <c r="D298" t="s">
        <v>381</v>
      </c>
      <c r="E298" t="s">
        <v>361</v>
      </c>
      <c r="F298" t="s">
        <v>623</v>
      </c>
      <c r="G298" s="24">
        <v>45682</v>
      </c>
      <c r="H298" s="25">
        <f t="shared" ca="1" si="4"/>
        <v>283</v>
      </c>
      <c r="I298">
        <v>11687</v>
      </c>
      <c r="J298" t="e" vm="4">
        <v>#VALUE!</v>
      </c>
      <c r="K298" cm="1" vm="5">
        <f t="array" aca="1" ref="K298" ca="1">_FV(J298,"Población")</f>
        <v>1412175000</v>
      </c>
    </row>
    <row r="299" spans="3:11" x14ac:dyDescent="0.35">
      <c r="C299" s="51"/>
      <c r="D299" t="s">
        <v>382</v>
      </c>
      <c r="E299" t="s">
        <v>425</v>
      </c>
      <c r="F299" t="s">
        <v>624</v>
      </c>
      <c r="G299" s="24">
        <v>45604</v>
      </c>
      <c r="H299" s="25">
        <f t="shared" ca="1" si="4"/>
        <v>361</v>
      </c>
      <c r="I299">
        <v>11959</v>
      </c>
      <c r="J299" t="e" vm="4">
        <v>#VALUE!</v>
      </c>
      <c r="K299" cm="1" vm="5">
        <f t="array" aca="1" ref="K299" ca="1">_FV(J299,"Población")</f>
        <v>1412175000</v>
      </c>
    </row>
    <row r="300" spans="3:11" x14ac:dyDescent="0.35">
      <c r="C300" s="51"/>
      <c r="D300" t="s">
        <v>383</v>
      </c>
      <c r="E300" t="s">
        <v>425</v>
      </c>
      <c r="F300" t="s">
        <v>524</v>
      </c>
      <c r="G300" s="24">
        <v>45635</v>
      </c>
      <c r="H300" s="25">
        <f t="shared" ca="1" si="4"/>
        <v>330</v>
      </c>
      <c r="I300">
        <v>2220</v>
      </c>
      <c r="J300" t="e" vm="2">
        <v>#VALUE!</v>
      </c>
      <c r="K300" cm="1" vm="3">
        <f t="array" aca="1" ref="K300" ca="1">_FV(J300,"Población")</f>
        <v>215313498</v>
      </c>
    </row>
    <row r="301" spans="3:11" x14ac:dyDescent="0.35">
      <c r="C301" s="51"/>
      <c r="D301" t="s">
        <v>384</v>
      </c>
      <c r="E301" t="s">
        <v>110</v>
      </c>
      <c r="F301" t="s">
        <v>734</v>
      </c>
      <c r="G301" s="24">
        <v>45636</v>
      </c>
      <c r="H301" s="25">
        <f t="shared" ca="1" si="4"/>
        <v>329</v>
      </c>
      <c r="I301">
        <v>14250</v>
      </c>
      <c r="J301" t="e" vm="6">
        <v>#VALUE!</v>
      </c>
      <c r="K301" cm="1" vm="7">
        <f t="array" aca="1" ref="K301" ca="1">_FV(J301,"Población")</f>
        <v>46234830</v>
      </c>
    </row>
    <row r="302" spans="3:11" x14ac:dyDescent="0.35">
      <c r="C302" s="51"/>
      <c r="D302" t="s">
        <v>385</v>
      </c>
      <c r="E302" t="s">
        <v>127</v>
      </c>
      <c r="F302" t="s">
        <v>625</v>
      </c>
      <c r="G302" s="24">
        <v>45631</v>
      </c>
      <c r="H302" s="25">
        <f t="shared" ca="1" si="4"/>
        <v>334</v>
      </c>
      <c r="I302">
        <v>11253</v>
      </c>
      <c r="J302" t="e" vm="4">
        <v>#VALUE!</v>
      </c>
      <c r="K302" cm="1" vm="5">
        <f t="array" aca="1" ref="K302" ca="1">_FV(J302,"Población")</f>
        <v>1412175000</v>
      </c>
    </row>
    <row r="303" spans="3:11" x14ac:dyDescent="0.35">
      <c r="C303" s="51"/>
      <c r="D303" t="s">
        <v>386</v>
      </c>
      <c r="E303" t="s">
        <v>305</v>
      </c>
      <c r="F303" t="s">
        <v>525</v>
      </c>
      <c r="G303" s="24">
        <v>45650</v>
      </c>
      <c r="H303" s="25">
        <f t="shared" ca="1" si="4"/>
        <v>315</v>
      </c>
      <c r="I303">
        <v>3477</v>
      </c>
      <c r="J303" t="e" vm="2">
        <v>#VALUE!</v>
      </c>
      <c r="K303" cm="1" vm="3">
        <f t="array" aca="1" ref="K303" ca="1">_FV(J303,"Población")</f>
        <v>215313498</v>
      </c>
    </row>
    <row r="304" spans="3:11" x14ac:dyDescent="0.35">
      <c r="C304" s="51"/>
      <c r="D304" t="s">
        <v>387</v>
      </c>
      <c r="E304" t="s">
        <v>127</v>
      </c>
      <c r="F304" t="s">
        <v>526</v>
      </c>
      <c r="G304" s="24">
        <v>45662</v>
      </c>
      <c r="H304" s="25">
        <f t="shared" ca="1" si="4"/>
        <v>303</v>
      </c>
      <c r="I304">
        <v>1824</v>
      </c>
      <c r="J304" t="e" vm="2">
        <v>#VALUE!</v>
      </c>
      <c r="K304" cm="1" vm="3">
        <f t="array" aca="1" ref="K304" ca="1">_FV(J304,"Población")</f>
        <v>215313498</v>
      </c>
    </row>
    <row r="305" spans="3:11" x14ac:dyDescent="0.35">
      <c r="C305" s="51"/>
      <c r="D305" t="s">
        <v>388</v>
      </c>
      <c r="E305" t="s">
        <v>110</v>
      </c>
      <c r="F305" t="s">
        <v>735</v>
      </c>
      <c r="G305" s="24">
        <v>45666</v>
      </c>
      <c r="H305" s="25">
        <f t="shared" ca="1" si="4"/>
        <v>299</v>
      </c>
      <c r="I305">
        <v>19113</v>
      </c>
      <c r="J305" t="e" vm="6">
        <v>#VALUE!</v>
      </c>
      <c r="K305" cm="1" vm="7">
        <f t="array" aca="1" ref="K305" ca="1">_FV(J305,"Población")</f>
        <v>46234830</v>
      </c>
    </row>
    <row r="306" spans="3:11" x14ac:dyDescent="0.35">
      <c r="C306" s="51"/>
      <c r="D306" t="s">
        <v>389</v>
      </c>
      <c r="E306" t="s">
        <v>350</v>
      </c>
      <c r="F306" t="s">
        <v>626</v>
      </c>
      <c r="G306" s="24">
        <v>45633</v>
      </c>
      <c r="H306" s="25">
        <f t="shared" ca="1" si="4"/>
        <v>332</v>
      </c>
      <c r="I306">
        <v>18004</v>
      </c>
      <c r="J306" t="e" vm="4">
        <v>#VALUE!</v>
      </c>
      <c r="K306" cm="1" vm="5">
        <f t="array" aca="1" ref="K306" ca="1">_FV(J306,"Población")</f>
        <v>1412175000</v>
      </c>
    </row>
    <row r="307" spans="3:11" x14ac:dyDescent="0.35">
      <c r="C307" s="51"/>
      <c r="D307" t="s">
        <v>390</v>
      </c>
      <c r="E307" t="s">
        <v>81</v>
      </c>
      <c r="F307" t="s">
        <v>736</v>
      </c>
      <c r="G307" s="24">
        <v>45672</v>
      </c>
      <c r="H307" s="25">
        <f t="shared" ca="1" si="4"/>
        <v>293</v>
      </c>
      <c r="I307">
        <v>4734</v>
      </c>
      <c r="J307" t="e" vm="6">
        <v>#VALUE!</v>
      </c>
      <c r="K307" cm="1" vm="7">
        <f t="array" aca="1" ref="K307" ca="1">_FV(J307,"Población")</f>
        <v>46234830</v>
      </c>
    </row>
    <row r="308" spans="3:11" x14ac:dyDescent="0.35">
      <c r="C308" s="51"/>
      <c r="D308" t="s">
        <v>391</v>
      </c>
      <c r="E308" t="s">
        <v>305</v>
      </c>
      <c r="F308" t="s">
        <v>627</v>
      </c>
      <c r="G308" s="24">
        <v>45603</v>
      </c>
      <c r="H308" s="25">
        <f t="shared" ca="1" si="4"/>
        <v>362</v>
      </c>
      <c r="I308">
        <v>17772</v>
      </c>
      <c r="J308" t="e" vm="4">
        <v>#VALUE!</v>
      </c>
      <c r="K308" cm="1" vm="5">
        <f t="array" aca="1" ref="K308" ca="1">_FV(J308,"Población")</f>
        <v>1412175000</v>
      </c>
    </row>
    <row r="309" spans="3:11" x14ac:dyDescent="0.35">
      <c r="C309" s="51"/>
      <c r="D309" t="s">
        <v>392</v>
      </c>
      <c r="E309" t="s">
        <v>110</v>
      </c>
      <c r="F309" t="s">
        <v>737</v>
      </c>
      <c r="G309" s="24">
        <v>45624</v>
      </c>
      <c r="H309" s="25">
        <f t="shared" ca="1" si="4"/>
        <v>341</v>
      </c>
      <c r="I309">
        <v>13609</v>
      </c>
      <c r="J309" t="e" vm="6">
        <v>#VALUE!</v>
      </c>
      <c r="K309" cm="1" vm="7">
        <f t="array" aca="1" ref="K309" ca="1">_FV(J309,"Población")</f>
        <v>46234830</v>
      </c>
    </row>
    <row r="310" spans="3:11" x14ac:dyDescent="0.35">
      <c r="C310" s="51"/>
      <c r="D310" t="s">
        <v>393</v>
      </c>
      <c r="E310" t="s">
        <v>127</v>
      </c>
      <c r="F310" t="s">
        <v>738</v>
      </c>
      <c r="G310" s="24">
        <v>45678</v>
      </c>
      <c r="H310" s="25">
        <f t="shared" ca="1" si="4"/>
        <v>287</v>
      </c>
      <c r="I310">
        <v>13799</v>
      </c>
      <c r="J310" t="e" vm="6">
        <v>#VALUE!</v>
      </c>
      <c r="K310" cm="1" vm="7">
        <f t="array" aca="1" ref="K310" ca="1">_FV(J310,"Población")</f>
        <v>46234830</v>
      </c>
    </row>
    <row r="311" spans="3:11" x14ac:dyDescent="0.35">
      <c r="C311" s="51"/>
      <c r="D311" t="s">
        <v>394</v>
      </c>
      <c r="E311" t="s">
        <v>81</v>
      </c>
      <c r="F311" t="s">
        <v>527</v>
      </c>
      <c r="G311" s="24">
        <v>45610</v>
      </c>
      <c r="H311" s="25">
        <f t="shared" ca="1" si="4"/>
        <v>355</v>
      </c>
      <c r="I311">
        <v>19248</v>
      </c>
      <c r="J311" t="e" vm="2">
        <v>#VALUE!</v>
      </c>
      <c r="K311" cm="1" vm="3">
        <f t="array" aca="1" ref="K311" ca="1">_FV(J311,"Población")</f>
        <v>215313498</v>
      </c>
    </row>
    <row r="312" spans="3:11" x14ac:dyDescent="0.35">
      <c r="C312" s="51"/>
      <c r="D312" t="s">
        <v>395</v>
      </c>
      <c r="E312" t="s">
        <v>127</v>
      </c>
      <c r="F312" t="s">
        <v>739</v>
      </c>
      <c r="G312" s="24">
        <v>45681</v>
      </c>
      <c r="H312" s="25">
        <f t="shared" ca="1" si="4"/>
        <v>284</v>
      </c>
      <c r="I312">
        <v>9150</v>
      </c>
      <c r="J312" t="e" vm="6">
        <v>#VALUE!</v>
      </c>
      <c r="K312" cm="1" vm="7">
        <f t="array" aca="1" ref="K312" ca="1">_FV(J312,"Población")</f>
        <v>46234830</v>
      </c>
    </row>
    <row r="313" spans="3:11" x14ac:dyDescent="0.35">
      <c r="C313" s="51"/>
      <c r="D313" t="s">
        <v>396</v>
      </c>
      <c r="E313" t="s">
        <v>305</v>
      </c>
      <c r="F313" t="s">
        <v>628</v>
      </c>
      <c r="G313" s="24">
        <v>45682</v>
      </c>
      <c r="H313" s="25">
        <f t="shared" ca="1" si="4"/>
        <v>283</v>
      </c>
      <c r="I313">
        <v>15516</v>
      </c>
      <c r="J313" t="e" vm="4">
        <v>#VALUE!</v>
      </c>
      <c r="K313" cm="1" vm="5">
        <f t="array" aca="1" ref="K313" ca="1">_FV(J313,"Población")</f>
        <v>1412175000</v>
      </c>
    </row>
    <row r="314" spans="3:11" x14ac:dyDescent="0.35">
      <c r="C314" s="51"/>
      <c r="D314" t="s">
        <v>397</v>
      </c>
      <c r="E314" t="s">
        <v>305</v>
      </c>
      <c r="F314" t="s">
        <v>412</v>
      </c>
      <c r="G314" s="24">
        <v>45630</v>
      </c>
      <c r="H314" s="25">
        <f t="shared" ca="1" si="4"/>
        <v>335</v>
      </c>
      <c r="I314">
        <v>10301</v>
      </c>
      <c r="J314" t="e" vm="6">
        <v>#VALUE!</v>
      </c>
      <c r="K314" cm="1" vm="7">
        <f t="array" aca="1" ref="K314" ca="1">_FV(J314,"Población")</f>
        <v>46234830</v>
      </c>
    </row>
    <row r="315" spans="3:11" x14ac:dyDescent="0.35">
      <c r="C315" s="51"/>
      <c r="D315" t="s">
        <v>398</v>
      </c>
      <c r="E315" t="s">
        <v>81</v>
      </c>
      <c r="F315" t="s">
        <v>629</v>
      </c>
      <c r="G315" s="24">
        <v>45621</v>
      </c>
      <c r="H315" s="25">
        <f t="shared" ca="1" si="4"/>
        <v>344</v>
      </c>
      <c r="I315">
        <v>2057</v>
      </c>
      <c r="J315" t="e" vm="4">
        <v>#VALUE!</v>
      </c>
      <c r="K315" cm="1" vm="5">
        <f t="array" aca="1" ref="K315" ca="1">_FV(J315,"Población")</f>
        <v>1412175000</v>
      </c>
    </row>
    <row r="316" spans="3:11" x14ac:dyDescent="0.35">
      <c r="C316" s="51"/>
      <c r="D316" t="s">
        <v>399</v>
      </c>
      <c r="E316" t="s">
        <v>305</v>
      </c>
      <c r="F316" t="s">
        <v>740</v>
      </c>
      <c r="G316" s="24">
        <v>45651</v>
      </c>
      <c r="H316" s="25">
        <f t="shared" ca="1" si="4"/>
        <v>314</v>
      </c>
      <c r="I316">
        <v>4331</v>
      </c>
      <c r="J316" t="e" vm="6">
        <v>#VALUE!</v>
      </c>
      <c r="K316" cm="1" vm="7">
        <f t="array" aca="1" ref="K316" ca="1">_FV(J316,"Población")</f>
        <v>46234830</v>
      </c>
    </row>
    <row r="317" spans="3:11" x14ac:dyDescent="0.35">
      <c r="C317" s="51"/>
      <c r="D317" t="s">
        <v>400</v>
      </c>
      <c r="E317" t="s">
        <v>425</v>
      </c>
      <c r="F317" t="s">
        <v>630</v>
      </c>
      <c r="G317" s="24">
        <v>45682</v>
      </c>
      <c r="H317" s="25">
        <f t="shared" ca="1" si="4"/>
        <v>283</v>
      </c>
      <c r="I317">
        <v>14287</v>
      </c>
      <c r="J317" t="e" vm="4">
        <v>#VALUE!</v>
      </c>
      <c r="K317" cm="1" vm="5">
        <f t="array" aca="1" ref="K317" ca="1">_FV(J317,"Población")</f>
        <v>1412175000</v>
      </c>
    </row>
    <row r="318" spans="3:11" x14ac:dyDescent="0.35">
      <c r="C318" s="51"/>
      <c r="D318" t="s">
        <v>401</v>
      </c>
      <c r="E318" t="s">
        <v>127</v>
      </c>
      <c r="F318" t="s">
        <v>413</v>
      </c>
      <c r="G318" s="24">
        <v>45658</v>
      </c>
      <c r="H318" s="25">
        <f t="shared" ca="1" si="4"/>
        <v>307</v>
      </c>
      <c r="I318">
        <v>18641</v>
      </c>
      <c r="J318" t="e" vm="6">
        <v>#VALUE!</v>
      </c>
      <c r="K318" cm="1" vm="7">
        <f t="array" aca="1" ref="K318" ca="1">_FV(J318,"Población")</f>
        <v>46234830</v>
      </c>
    </row>
    <row r="319" spans="3:11" x14ac:dyDescent="0.35">
      <c r="C319" s="51"/>
      <c r="D319" t="s">
        <v>402</v>
      </c>
      <c r="E319" t="s">
        <v>425</v>
      </c>
      <c r="F319" t="s">
        <v>631</v>
      </c>
      <c r="G319" s="24">
        <v>45626</v>
      </c>
      <c r="H319" s="25">
        <f t="shared" ca="1" si="4"/>
        <v>339</v>
      </c>
      <c r="I319">
        <v>6234</v>
      </c>
      <c r="J319" t="e" vm="4">
        <v>#VALUE!</v>
      </c>
      <c r="K319" cm="1" vm="5">
        <f t="array" aca="1" ref="K319" ca="1">_FV(J319,"Población")</f>
        <v>1412175000</v>
      </c>
    </row>
    <row r="320" spans="3:11" x14ac:dyDescent="0.35">
      <c r="C320" s="51"/>
      <c r="D320" t="s">
        <v>403</v>
      </c>
      <c r="E320" t="s">
        <v>425</v>
      </c>
      <c r="F320" t="s">
        <v>741</v>
      </c>
      <c r="G320" s="24">
        <v>45604</v>
      </c>
      <c r="H320" s="25">
        <f t="shared" ca="1" si="4"/>
        <v>361</v>
      </c>
      <c r="I320">
        <v>2398</v>
      </c>
      <c r="J320" t="e" vm="6">
        <v>#VALUE!</v>
      </c>
      <c r="K320" cm="1" vm="7">
        <f t="array" aca="1" ref="K320" ca="1">_FV(J320,"Población")</f>
        <v>46234830</v>
      </c>
    </row>
    <row r="321" spans="3:11" x14ac:dyDescent="0.35">
      <c r="C321" s="51"/>
      <c r="D321" t="s">
        <v>404</v>
      </c>
      <c r="E321" t="s">
        <v>361</v>
      </c>
      <c r="F321" t="s">
        <v>742</v>
      </c>
      <c r="G321" s="24">
        <v>45681</v>
      </c>
      <c r="H321" s="25">
        <f t="shared" ca="1" si="4"/>
        <v>284</v>
      </c>
      <c r="I321">
        <v>12325</v>
      </c>
      <c r="J321" t="e" vm="6">
        <v>#VALUE!</v>
      </c>
      <c r="K321" cm="1" vm="7">
        <f t="array" aca="1" ref="K321" ca="1">_FV(J321,"Población")</f>
        <v>46234830</v>
      </c>
    </row>
    <row r="322" spans="3:11" x14ac:dyDescent="0.35">
      <c r="C322" s="51"/>
      <c r="D322" t="s">
        <v>405</v>
      </c>
      <c r="E322" t="s">
        <v>425</v>
      </c>
      <c r="F322" t="s">
        <v>743</v>
      </c>
      <c r="G322" s="24">
        <v>45663</v>
      </c>
      <c r="H322" s="25">
        <f t="shared" ca="1" si="4"/>
        <v>302</v>
      </c>
      <c r="I322">
        <v>6392</v>
      </c>
      <c r="J322" t="e" vm="6">
        <v>#VALUE!</v>
      </c>
      <c r="K322" cm="1" vm="7">
        <f t="array" aca="1" ref="K322" ca="1">_FV(J322,"Población")</f>
        <v>46234830</v>
      </c>
    </row>
    <row r="323" spans="3:11" x14ac:dyDescent="0.35">
      <c r="C323" s="51"/>
      <c r="D323" t="s">
        <v>406</v>
      </c>
      <c r="E323" t="s">
        <v>425</v>
      </c>
      <c r="F323" t="s">
        <v>744</v>
      </c>
      <c r="G323" s="24">
        <v>45616</v>
      </c>
      <c r="H323" s="25">
        <f t="shared" ca="1" si="4"/>
        <v>349</v>
      </c>
      <c r="I323">
        <v>9859</v>
      </c>
      <c r="J323" t="e" vm="6">
        <v>#VALUE!</v>
      </c>
      <c r="K323" cm="1" vm="7">
        <f t="array" aca="1" ref="K323" ca="1">_FV(J323,"Población")</f>
        <v>46234830</v>
      </c>
    </row>
    <row r="324" spans="3:11" x14ac:dyDescent="0.35">
      <c r="C324" s="51"/>
      <c r="D324" t="s">
        <v>407</v>
      </c>
      <c r="E324" t="s">
        <v>127</v>
      </c>
      <c r="F324" t="s">
        <v>528</v>
      </c>
      <c r="G324" s="24">
        <v>45676</v>
      </c>
      <c r="H324" s="25">
        <f t="shared" ref="H324" ca="1" si="5">TODAY()-G324</f>
        <v>289</v>
      </c>
      <c r="I324">
        <v>15964</v>
      </c>
      <c r="J324" t="e" vm="2">
        <v>#VALUE!</v>
      </c>
      <c r="K324" cm="1" vm="3">
        <f t="array" aca="1" ref="K324" ca="1">_FV(J324,"Población")</f>
        <v>215313498</v>
      </c>
    </row>
  </sheetData>
  <conditionalFormatting sqref="B3:B7">
    <cfRule type="expression" dxfId="0" priority="1">
      <formula>$A3=TRUE</formula>
    </cfRule>
  </conditionalFormatting>
  <hyperlinks>
    <hyperlink ref="A1" location="'Lo que aprenderás'!A1" display="Inicio" xr:uid="{39E5E827-C750-4721-9A0F-6D825FB383ED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6" r:id="rId4" name="Check Box 2">
              <controlPr defaultSize="0" autoFill="0" autoLine="0" autoPict="0">
                <anchor moveWithCells="1">
                  <from>
                    <xdr:col>0</xdr:col>
                    <xdr:colOff>95250</xdr:colOff>
                    <xdr:row>1</xdr:row>
                    <xdr:rowOff>571500</xdr:rowOff>
                  </from>
                  <to>
                    <xdr:col>0</xdr:col>
                    <xdr:colOff>317500</xdr:colOff>
                    <xdr:row>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7" r:id="rId5" name="Check Box 3">
              <controlPr defaultSize="0" autoFill="0" autoLine="0" autoPict="0">
                <anchor moveWithCells="1">
                  <from>
                    <xdr:col>0</xdr:col>
                    <xdr:colOff>88900</xdr:colOff>
                    <xdr:row>2</xdr:row>
                    <xdr:rowOff>209550</xdr:rowOff>
                  </from>
                  <to>
                    <xdr:col>0</xdr:col>
                    <xdr:colOff>304800</xdr:colOff>
                    <xdr:row>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8" r:id="rId6" name="Check Box 4">
              <controlPr defaultSize="0" autoFill="0" autoLine="0" autoPict="0">
                <anchor moveWithCells="1">
                  <from>
                    <xdr:col>0</xdr:col>
                    <xdr:colOff>88900</xdr:colOff>
                    <xdr:row>3</xdr:row>
                    <xdr:rowOff>209550</xdr:rowOff>
                  </from>
                  <to>
                    <xdr:col>0</xdr:col>
                    <xdr:colOff>304800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9" r:id="rId7" name="Check Box 5">
              <controlPr defaultSize="0" autoFill="0" autoLine="0" autoPict="0">
                <anchor moveWithCells="1">
                  <from>
                    <xdr:col>0</xdr:col>
                    <xdr:colOff>88900</xdr:colOff>
                    <xdr:row>4</xdr:row>
                    <xdr:rowOff>209550</xdr:rowOff>
                  </from>
                  <to>
                    <xdr:col>0</xdr:col>
                    <xdr:colOff>304800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0" r:id="rId8" name="Check Box 6">
              <controlPr defaultSize="0" autoFill="0" autoLine="0" autoPict="0">
                <anchor moveWithCells="1">
                  <from>
                    <xdr:col>0</xdr:col>
                    <xdr:colOff>88900</xdr:colOff>
                    <xdr:row>5</xdr:row>
                    <xdr:rowOff>209550</xdr:rowOff>
                  </from>
                  <to>
                    <xdr:col>0</xdr:col>
                    <xdr:colOff>304800</xdr:colOff>
                    <xdr:row>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3734-C569-4036-A234-9A0BFED21AE2}">
  <sheetPr codeName="Hoja13">
    <tabColor theme="6" tint="0.79998168889431442"/>
  </sheetPr>
  <dimension ref="A1:J324"/>
  <sheetViews>
    <sheetView zoomScale="160" zoomScaleNormal="160" workbookViewId="0">
      <selection activeCell="A2" sqref="A2"/>
    </sheetView>
  </sheetViews>
  <sheetFormatPr baseColWidth="10" defaultRowHeight="14.5" x14ac:dyDescent="0.35"/>
  <cols>
    <col min="1" max="1" width="10.1796875" bestFit="1" customWidth="1"/>
    <col min="2" max="2" width="12.1796875" bestFit="1" customWidth="1"/>
    <col min="3" max="3" width="24.453125" bestFit="1" customWidth="1"/>
    <col min="4" max="4" width="15.54296875" bestFit="1" customWidth="1"/>
    <col min="5" max="5" width="20" bestFit="1" customWidth="1"/>
    <col min="6" max="6" width="11.7265625" bestFit="1" customWidth="1"/>
    <col min="7" max="7" width="25" bestFit="1" customWidth="1"/>
    <col min="8" max="8" width="13.1796875" bestFit="1" customWidth="1"/>
  </cols>
  <sheetData>
    <row r="1" spans="1:10" x14ac:dyDescent="0.35">
      <c r="A1" s="12" t="s">
        <v>35</v>
      </c>
    </row>
    <row r="2" spans="1:10" ht="15.5" x14ac:dyDescent="0.35">
      <c r="A2" s="56" t="s">
        <v>55</v>
      </c>
      <c r="B2" s="56" t="s">
        <v>78</v>
      </c>
      <c r="C2" s="57" t="s">
        <v>410</v>
      </c>
      <c r="D2" s="56" t="s">
        <v>79</v>
      </c>
      <c r="E2" s="57" t="s">
        <v>414</v>
      </c>
      <c r="F2" s="56" t="s">
        <v>408</v>
      </c>
      <c r="G2" s="56" t="s">
        <v>409</v>
      </c>
      <c r="H2" s="57" t="s">
        <v>415</v>
      </c>
    </row>
    <row r="3" spans="1:10" x14ac:dyDescent="0.35">
      <c r="A3" t="s">
        <v>80</v>
      </c>
      <c r="B3" t="s">
        <v>425</v>
      </c>
      <c r="C3" t="s">
        <v>426</v>
      </c>
      <c r="D3" s="24">
        <v>45634</v>
      </c>
      <c r="E3" s="25">
        <f t="shared" ref="E3:E66" ca="1" si="0">TODAY()-D3</f>
        <v>331</v>
      </c>
      <c r="F3" s="22">
        <v>2294</v>
      </c>
      <c r="G3" t="e" vm="2">
        <v>#VALUE!</v>
      </c>
      <c r="H3" cm="1" vm="3">
        <f t="array" aca="1" ref="H3" ca="1">_FV(G3,"Población")</f>
        <v>215313498</v>
      </c>
      <c r="J3" s="25"/>
    </row>
    <row r="4" spans="1:10" x14ac:dyDescent="0.35">
      <c r="A4" t="s">
        <v>82</v>
      </c>
      <c r="B4" t="s">
        <v>127</v>
      </c>
      <c r="C4" t="s">
        <v>529</v>
      </c>
      <c r="D4" s="24">
        <v>45601</v>
      </c>
      <c r="E4" s="25">
        <f t="shared" ca="1" si="0"/>
        <v>364</v>
      </c>
      <c r="F4" s="22">
        <v>13932</v>
      </c>
      <c r="G4" t="e" vm="4">
        <v>#VALUE!</v>
      </c>
      <c r="H4" cm="1" vm="5">
        <f t="array" aca="1" ref="H4" ca="1">_FV(G4,"Población")</f>
        <v>1412175000</v>
      </c>
      <c r="J4" s="25"/>
    </row>
    <row r="5" spans="1:10" x14ac:dyDescent="0.35">
      <c r="A5" t="s">
        <v>83</v>
      </c>
      <c r="B5" t="s">
        <v>81</v>
      </c>
      <c r="C5" t="s">
        <v>632</v>
      </c>
      <c r="D5" s="24">
        <v>45668</v>
      </c>
      <c r="E5" s="25">
        <f t="shared" ca="1" si="0"/>
        <v>297</v>
      </c>
      <c r="F5" s="22">
        <v>5277</v>
      </c>
      <c r="G5" t="e" vm="6">
        <v>#VALUE!</v>
      </c>
      <c r="H5" cm="1" vm="7">
        <f t="array" aca="1" ref="H5" ca="1">_FV(G5,"Población")</f>
        <v>46234830</v>
      </c>
      <c r="J5" s="25"/>
    </row>
    <row r="6" spans="1:10" x14ac:dyDescent="0.35">
      <c r="A6" t="s">
        <v>84</v>
      </c>
      <c r="B6" t="s">
        <v>350</v>
      </c>
      <c r="C6" t="s">
        <v>530</v>
      </c>
      <c r="D6" s="24">
        <v>45640</v>
      </c>
      <c r="E6" s="25">
        <f t="shared" ca="1" si="0"/>
        <v>325</v>
      </c>
      <c r="F6" s="22">
        <v>16085</v>
      </c>
      <c r="G6" t="e" vm="4">
        <v>#VALUE!</v>
      </c>
      <c r="H6" cm="1" vm="5">
        <f t="array" aca="1" ref="H6" ca="1">_FV(G6,"Población")</f>
        <v>1412175000</v>
      </c>
      <c r="J6" s="25"/>
    </row>
    <row r="7" spans="1:10" x14ac:dyDescent="0.35">
      <c r="A7" t="s">
        <v>85</v>
      </c>
      <c r="B7" t="s">
        <v>425</v>
      </c>
      <c r="C7" t="s">
        <v>531</v>
      </c>
      <c r="D7" s="24">
        <v>45670</v>
      </c>
      <c r="E7" s="25">
        <f t="shared" ca="1" si="0"/>
        <v>295</v>
      </c>
      <c r="F7" s="22">
        <v>16357</v>
      </c>
      <c r="G7" t="e" vm="4">
        <v>#VALUE!</v>
      </c>
      <c r="H7" cm="1" vm="5">
        <f t="array" aca="1" ref="H7" ca="1">_FV(G7,"Población")</f>
        <v>1412175000</v>
      </c>
      <c r="J7" s="25"/>
    </row>
    <row r="8" spans="1:10" x14ac:dyDescent="0.35">
      <c r="A8" t="s">
        <v>86</v>
      </c>
      <c r="B8" t="s">
        <v>350</v>
      </c>
      <c r="C8" t="s">
        <v>633</v>
      </c>
      <c r="D8" s="24">
        <v>45681</v>
      </c>
      <c r="E8" s="25">
        <f t="shared" ca="1" si="0"/>
        <v>284</v>
      </c>
      <c r="F8" s="22">
        <v>19413</v>
      </c>
      <c r="G8" t="e" vm="6">
        <v>#VALUE!</v>
      </c>
      <c r="H8" cm="1" vm="7">
        <f t="array" aca="1" ref="H8" ca="1">_FV(G8,"Población")</f>
        <v>46234830</v>
      </c>
      <c r="J8" s="25"/>
    </row>
    <row r="9" spans="1:10" x14ac:dyDescent="0.35">
      <c r="A9" t="s">
        <v>87</v>
      </c>
      <c r="B9" t="s">
        <v>361</v>
      </c>
      <c r="C9" t="s">
        <v>634</v>
      </c>
      <c r="D9" s="24">
        <v>45650</v>
      </c>
      <c r="E9" s="25">
        <f t="shared" ca="1" si="0"/>
        <v>315</v>
      </c>
      <c r="F9" s="22">
        <v>11388</v>
      </c>
      <c r="G9" t="e" vm="6">
        <v>#VALUE!</v>
      </c>
      <c r="H9" cm="1" vm="7">
        <f t="array" aca="1" ref="H9" ca="1">_FV(G9,"Población")</f>
        <v>46234830</v>
      </c>
      <c r="J9" s="25"/>
    </row>
    <row r="10" spans="1:10" x14ac:dyDescent="0.35">
      <c r="A10" t="s">
        <v>88</v>
      </c>
      <c r="B10" t="s">
        <v>305</v>
      </c>
      <c r="C10" t="s">
        <v>635</v>
      </c>
      <c r="D10" s="24">
        <v>45676</v>
      </c>
      <c r="E10" s="25">
        <f t="shared" ca="1" si="0"/>
        <v>289</v>
      </c>
      <c r="F10" s="22">
        <v>14682</v>
      </c>
      <c r="G10" t="e" vm="6">
        <v>#VALUE!</v>
      </c>
      <c r="H10" cm="1" vm="7">
        <f t="array" aca="1" ref="H10" ca="1">_FV(G10,"Población")</f>
        <v>46234830</v>
      </c>
    </row>
    <row r="11" spans="1:10" x14ac:dyDescent="0.35">
      <c r="A11" t="s">
        <v>89</v>
      </c>
      <c r="B11" t="s">
        <v>110</v>
      </c>
      <c r="C11" t="s">
        <v>532</v>
      </c>
      <c r="D11" s="24">
        <v>45676</v>
      </c>
      <c r="E11" s="25">
        <f t="shared" ca="1" si="0"/>
        <v>289</v>
      </c>
      <c r="F11" s="22">
        <v>11295</v>
      </c>
      <c r="G11" t="e" vm="4">
        <v>#VALUE!</v>
      </c>
      <c r="H11" cm="1" vm="5">
        <f t="array" aca="1" ref="H11" ca="1">_FV(G11,"Población")</f>
        <v>1412175000</v>
      </c>
    </row>
    <row r="12" spans="1:10" x14ac:dyDescent="0.35">
      <c r="A12" t="s">
        <v>90</v>
      </c>
      <c r="B12" t="s">
        <v>425</v>
      </c>
      <c r="C12" t="s">
        <v>427</v>
      </c>
      <c r="D12" s="24">
        <v>45616</v>
      </c>
      <c r="E12" s="25">
        <f t="shared" ca="1" si="0"/>
        <v>349</v>
      </c>
      <c r="F12" s="22">
        <v>12040</v>
      </c>
      <c r="G12" t="e" vm="2">
        <v>#VALUE!</v>
      </c>
      <c r="H12" cm="1" vm="3">
        <f t="array" aca="1" ref="H12" ca="1">_FV(G12,"Población")</f>
        <v>215313498</v>
      </c>
    </row>
    <row r="13" spans="1:10" x14ac:dyDescent="0.35">
      <c r="A13" t="s">
        <v>91</v>
      </c>
      <c r="B13" t="s">
        <v>81</v>
      </c>
      <c r="C13" t="s">
        <v>636</v>
      </c>
      <c r="D13" s="24">
        <v>45644</v>
      </c>
      <c r="E13" s="25">
        <f t="shared" ca="1" si="0"/>
        <v>321</v>
      </c>
      <c r="F13" s="22">
        <v>8892</v>
      </c>
      <c r="G13" t="e" vm="6">
        <v>#VALUE!</v>
      </c>
      <c r="H13" cm="1" vm="7">
        <f t="array" aca="1" ref="H13" ca="1">_FV(G13,"Población")</f>
        <v>46234830</v>
      </c>
    </row>
    <row r="14" spans="1:10" x14ac:dyDescent="0.35">
      <c r="A14" t="s">
        <v>92</v>
      </c>
      <c r="B14" t="s">
        <v>305</v>
      </c>
      <c r="C14" t="s">
        <v>533</v>
      </c>
      <c r="D14" s="24">
        <v>45639</v>
      </c>
      <c r="E14" s="25">
        <f t="shared" ca="1" si="0"/>
        <v>326</v>
      </c>
      <c r="F14" s="22">
        <v>4172</v>
      </c>
      <c r="G14" t="e" vm="4">
        <v>#VALUE!</v>
      </c>
      <c r="H14" cm="1" vm="5">
        <f t="array" aca="1" ref="H14" ca="1">_FV(G14,"Población")</f>
        <v>1412175000</v>
      </c>
    </row>
    <row r="15" spans="1:10" x14ac:dyDescent="0.35">
      <c r="A15" t="s">
        <v>93</v>
      </c>
      <c r="B15" t="s">
        <v>361</v>
      </c>
      <c r="C15" t="s">
        <v>428</v>
      </c>
      <c r="D15" s="24">
        <v>45611</v>
      </c>
      <c r="E15" s="25">
        <f t="shared" ca="1" si="0"/>
        <v>354</v>
      </c>
      <c r="F15" s="22">
        <v>14820</v>
      </c>
      <c r="G15" t="e" vm="2">
        <v>#VALUE!</v>
      </c>
      <c r="H15" cm="1" vm="3">
        <f t="array" aca="1" ref="H15" ca="1">_FV(G15,"Población")</f>
        <v>215313498</v>
      </c>
    </row>
    <row r="16" spans="1:10" x14ac:dyDescent="0.35">
      <c r="A16" t="s">
        <v>94</v>
      </c>
      <c r="B16" t="s">
        <v>361</v>
      </c>
      <c r="C16" t="s">
        <v>534</v>
      </c>
      <c r="D16" s="24">
        <v>45631</v>
      </c>
      <c r="E16" s="25">
        <f t="shared" ca="1" si="0"/>
        <v>334</v>
      </c>
      <c r="F16" s="22">
        <v>16881</v>
      </c>
      <c r="G16" t="e" vm="4">
        <v>#VALUE!</v>
      </c>
      <c r="H16" cm="1" vm="5">
        <f t="array" aca="1" ref="H16" ca="1">_FV(G16,"Población")</f>
        <v>1412175000</v>
      </c>
    </row>
    <row r="17" spans="1:8" x14ac:dyDescent="0.35">
      <c r="A17" t="s">
        <v>95</v>
      </c>
      <c r="B17" t="s">
        <v>305</v>
      </c>
      <c r="C17" t="s">
        <v>535</v>
      </c>
      <c r="D17" s="24">
        <v>45675</v>
      </c>
      <c r="E17" s="25">
        <f t="shared" ca="1" si="0"/>
        <v>290</v>
      </c>
      <c r="F17" s="22">
        <v>2181</v>
      </c>
      <c r="G17" t="e" vm="4">
        <v>#VALUE!</v>
      </c>
      <c r="H17" cm="1" vm="5">
        <f t="array" aca="1" ref="H17" ca="1">_FV(G17,"Población")</f>
        <v>1412175000</v>
      </c>
    </row>
    <row r="18" spans="1:8" x14ac:dyDescent="0.35">
      <c r="A18" t="s">
        <v>96</v>
      </c>
      <c r="B18" t="s">
        <v>305</v>
      </c>
      <c r="C18" t="s">
        <v>536</v>
      </c>
      <c r="D18" s="24">
        <v>45656</v>
      </c>
      <c r="E18" s="25">
        <f t="shared" ca="1" si="0"/>
        <v>309</v>
      </c>
      <c r="F18" s="22">
        <v>16813</v>
      </c>
      <c r="G18" t="e" vm="4">
        <v>#VALUE!</v>
      </c>
      <c r="H18" cm="1" vm="5">
        <f t="array" aca="1" ref="H18" ca="1">_FV(G18,"Población")</f>
        <v>1412175000</v>
      </c>
    </row>
    <row r="19" spans="1:8" x14ac:dyDescent="0.35">
      <c r="A19" t="s">
        <v>97</v>
      </c>
      <c r="B19" t="s">
        <v>127</v>
      </c>
      <c r="C19" t="s">
        <v>429</v>
      </c>
      <c r="D19" s="24">
        <v>45660</v>
      </c>
      <c r="E19" s="25">
        <f t="shared" ca="1" si="0"/>
        <v>305</v>
      </c>
      <c r="F19" s="22">
        <v>3336</v>
      </c>
      <c r="G19" t="e" vm="2">
        <v>#VALUE!</v>
      </c>
      <c r="H19" cm="1" vm="3">
        <f t="array" aca="1" ref="H19" ca="1">_FV(G19,"Población")</f>
        <v>215313498</v>
      </c>
    </row>
    <row r="20" spans="1:8" x14ac:dyDescent="0.35">
      <c r="A20" t="s">
        <v>98</v>
      </c>
      <c r="B20" t="s">
        <v>361</v>
      </c>
      <c r="C20" t="s">
        <v>430</v>
      </c>
      <c r="D20" s="24">
        <v>45666</v>
      </c>
      <c r="E20" s="25">
        <f t="shared" ca="1" si="0"/>
        <v>299</v>
      </c>
      <c r="F20" s="22">
        <v>1573</v>
      </c>
      <c r="G20" t="e" vm="2">
        <v>#VALUE!</v>
      </c>
      <c r="H20" cm="1" vm="3">
        <f t="array" aca="1" ref="H20" ca="1">_FV(G20,"Población")</f>
        <v>215313498</v>
      </c>
    </row>
    <row r="21" spans="1:8" x14ac:dyDescent="0.35">
      <c r="A21" t="s">
        <v>99</v>
      </c>
      <c r="B21" t="s">
        <v>425</v>
      </c>
      <c r="C21" t="s">
        <v>537</v>
      </c>
      <c r="D21" s="24">
        <v>45678</v>
      </c>
      <c r="E21" s="25">
        <f t="shared" ca="1" si="0"/>
        <v>287</v>
      </c>
      <c r="F21" s="22">
        <v>2796</v>
      </c>
      <c r="G21" t="e" vm="4">
        <v>#VALUE!</v>
      </c>
      <c r="H21" cm="1" vm="5">
        <f t="array" aca="1" ref="H21" ca="1">_FV(G21,"Población")</f>
        <v>1412175000</v>
      </c>
    </row>
    <row r="22" spans="1:8" x14ac:dyDescent="0.35">
      <c r="A22" t="s">
        <v>100</v>
      </c>
      <c r="B22" t="s">
        <v>110</v>
      </c>
      <c r="C22" t="s">
        <v>538</v>
      </c>
      <c r="D22" s="24">
        <v>45609</v>
      </c>
      <c r="E22" s="25">
        <f t="shared" ca="1" si="0"/>
        <v>356</v>
      </c>
      <c r="F22" s="22">
        <v>18910</v>
      </c>
      <c r="G22" t="e" vm="4">
        <v>#VALUE!</v>
      </c>
      <c r="H22" cm="1" vm="5">
        <f t="array" aca="1" ref="H22" ca="1">_FV(G22,"Población")</f>
        <v>1412175000</v>
      </c>
    </row>
    <row r="23" spans="1:8" x14ac:dyDescent="0.35">
      <c r="A23" t="s">
        <v>101</v>
      </c>
      <c r="B23" t="s">
        <v>305</v>
      </c>
      <c r="C23" t="s">
        <v>539</v>
      </c>
      <c r="D23" s="24">
        <v>45601</v>
      </c>
      <c r="E23" s="25">
        <f t="shared" ca="1" si="0"/>
        <v>364</v>
      </c>
      <c r="F23" s="22">
        <v>6618</v>
      </c>
      <c r="G23" t="e" vm="4">
        <v>#VALUE!</v>
      </c>
      <c r="H23" cm="1" vm="5">
        <f t="array" aca="1" ref="H23" ca="1">_FV(G23,"Población")</f>
        <v>1412175000</v>
      </c>
    </row>
    <row r="24" spans="1:8" x14ac:dyDescent="0.35">
      <c r="A24" t="s">
        <v>102</v>
      </c>
      <c r="B24" t="s">
        <v>425</v>
      </c>
      <c r="C24" t="s">
        <v>637</v>
      </c>
      <c r="D24" s="24">
        <v>45638</v>
      </c>
      <c r="E24" s="25">
        <f t="shared" ca="1" si="0"/>
        <v>327</v>
      </c>
      <c r="F24" s="22">
        <v>6272</v>
      </c>
      <c r="G24" t="e" vm="6">
        <v>#VALUE!</v>
      </c>
      <c r="H24" cm="1" vm="7">
        <f t="array" aca="1" ref="H24" ca="1">_FV(G24,"Población")</f>
        <v>46234830</v>
      </c>
    </row>
    <row r="25" spans="1:8" x14ac:dyDescent="0.35">
      <c r="A25" t="s">
        <v>103</v>
      </c>
      <c r="B25" t="s">
        <v>350</v>
      </c>
      <c r="C25" t="s">
        <v>638</v>
      </c>
      <c r="D25" s="24">
        <v>45627</v>
      </c>
      <c r="E25" s="25">
        <f t="shared" ca="1" si="0"/>
        <v>338</v>
      </c>
      <c r="F25" s="22">
        <v>18100</v>
      </c>
      <c r="G25" t="e" vm="6">
        <v>#VALUE!</v>
      </c>
      <c r="H25" cm="1" vm="7">
        <f t="array" aca="1" ref="H25" ca="1">_FV(G25,"Población")</f>
        <v>46234830</v>
      </c>
    </row>
    <row r="26" spans="1:8" x14ac:dyDescent="0.35">
      <c r="A26" t="s">
        <v>104</v>
      </c>
      <c r="B26" t="s">
        <v>361</v>
      </c>
      <c r="C26" t="s">
        <v>639</v>
      </c>
      <c r="D26" s="24">
        <v>45607</v>
      </c>
      <c r="E26" s="25">
        <f t="shared" ca="1" si="0"/>
        <v>358</v>
      </c>
      <c r="F26" s="22">
        <v>14817</v>
      </c>
      <c r="G26" t="e" vm="6">
        <v>#VALUE!</v>
      </c>
      <c r="H26" cm="1" vm="7">
        <f t="array" aca="1" ref="H26" ca="1">_FV(G26,"Población")</f>
        <v>46234830</v>
      </c>
    </row>
    <row r="27" spans="1:8" x14ac:dyDescent="0.35">
      <c r="A27" t="s">
        <v>105</v>
      </c>
      <c r="B27" t="s">
        <v>110</v>
      </c>
      <c r="C27" t="s">
        <v>640</v>
      </c>
      <c r="D27" s="24">
        <v>45609</v>
      </c>
      <c r="E27" s="25">
        <f t="shared" ca="1" si="0"/>
        <v>356</v>
      </c>
      <c r="F27" s="22">
        <v>9644</v>
      </c>
      <c r="G27" t="e" vm="6">
        <v>#VALUE!</v>
      </c>
      <c r="H27" cm="1" vm="7">
        <f t="array" aca="1" ref="H27" ca="1">_FV(G27,"Población")</f>
        <v>46234830</v>
      </c>
    </row>
    <row r="28" spans="1:8" x14ac:dyDescent="0.35">
      <c r="A28" t="s">
        <v>106</v>
      </c>
      <c r="B28" t="s">
        <v>305</v>
      </c>
      <c r="C28" t="s">
        <v>641</v>
      </c>
      <c r="D28" s="24">
        <v>45686</v>
      </c>
      <c r="E28" s="25">
        <f t="shared" ca="1" si="0"/>
        <v>279</v>
      </c>
      <c r="F28" s="22">
        <v>1476</v>
      </c>
      <c r="G28" t="e" vm="6">
        <v>#VALUE!</v>
      </c>
      <c r="H28" cm="1" vm="7">
        <f t="array" aca="1" ref="H28" ca="1">_FV(G28,"Población")</f>
        <v>46234830</v>
      </c>
    </row>
    <row r="29" spans="1:8" x14ac:dyDescent="0.35">
      <c r="A29" t="s">
        <v>107</v>
      </c>
      <c r="B29" t="s">
        <v>425</v>
      </c>
      <c r="C29" t="s">
        <v>431</v>
      </c>
      <c r="D29" s="24">
        <v>45684</v>
      </c>
      <c r="E29" s="25">
        <f t="shared" ca="1" si="0"/>
        <v>281</v>
      </c>
      <c r="F29" s="22">
        <v>19430</v>
      </c>
      <c r="G29" t="e" vm="2">
        <v>#VALUE!</v>
      </c>
      <c r="H29" cm="1" vm="3">
        <f t="array" aca="1" ref="H29" ca="1">_FV(G29,"Población")</f>
        <v>215313498</v>
      </c>
    </row>
    <row r="30" spans="1:8" x14ac:dyDescent="0.35">
      <c r="A30" t="s">
        <v>108</v>
      </c>
      <c r="B30" t="s">
        <v>350</v>
      </c>
      <c r="C30" t="s">
        <v>540</v>
      </c>
      <c r="D30" s="24">
        <v>45661</v>
      </c>
      <c r="E30" s="25">
        <f t="shared" ca="1" si="0"/>
        <v>304</v>
      </c>
      <c r="F30" s="22">
        <v>17519</v>
      </c>
      <c r="G30" t="e" vm="4">
        <v>#VALUE!</v>
      </c>
      <c r="H30" cm="1" vm="5">
        <f t="array" aca="1" ref="H30" ca="1">_FV(G30,"Población")</f>
        <v>1412175000</v>
      </c>
    </row>
    <row r="31" spans="1:8" x14ac:dyDescent="0.35">
      <c r="A31" t="s">
        <v>109</v>
      </c>
      <c r="B31" t="s">
        <v>127</v>
      </c>
      <c r="C31" t="s">
        <v>642</v>
      </c>
      <c r="D31" s="24">
        <v>45604</v>
      </c>
      <c r="E31" s="25">
        <f t="shared" ca="1" si="0"/>
        <v>361</v>
      </c>
      <c r="F31" s="22">
        <v>5650</v>
      </c>
      <c r="G31" t="e" vm="6">
        <v>#VALUE!</v>
      </c>
      <c r="H31" cm="1" vm="7">
        <f t="array" aca="1" ref="H31" ca="1">_FV(G31,"Población")</f>
        <v>46234830</v>
      </c>
    </row>
    <row r="32" spans="1:8" x14ac:dyDescent="0.35">
      <c r="A32" t="s">
        <v>111</v>
      </c>
      <c r="B32" t="s">
        <v>361</v>
      </c>
      <c r="C32" t="s">
        <v>541</v>
      </c>
      <c r="D32" s="24">
        <v>45637</v>
      </c>
      <c r="E32" s="25">
        <f t="shared" ca="1" si="0"/>
        <v>328</v>
      </c>
      <c r="F32" s="22">
        <v>14642</v>
      </c>
      <c r="G32" t="e" vm="4">
        <v>#VALUE!</v>
      </c>
      <c r="H32" cm="1" vm="5">
        <f t="array" aca="1" ref="H32" ca="1">_FV(G32,"Población")</f>
        <v>1412175000</v>
      </c>
    </row>
    <row r="33" spans="1:8" x14ac:dyDescent="0.35">
      <c r="A33" t="s">
        <v>112</v>
      </c>
      <c r="B33" t="s">
        <v>361</v>
      </c>
      <c r="C33" t="s">
        <v>542</v>
      </c>
      <c r="D33" s="24">
        <v>45667</v>
      </c>
      <c r="E33" s="25">
        <f t="shared" ca="1" si="0"/>
        <v>298</v>
      </c>
      <c r="F33" s="22">
        <v>8335</v>
      </c>
      <c r="G33" t="e" vm="4">
        <v>#VALUE!</v>
      </c>
      <c r="H33" cm="1" vm="5">
        <f t="array" aca="1" ref="H33" ca="1">_FV(G33,"Población")</f>
        <v>1412175000</v>
      </c>
    </row>
    <row r="34" spans="1:8" x14ac:dyDescent="0.35">
      <c r="A34" t="s">
        <v>113</v>
      </c>
      <c r="B34" t="s">
        <v>81</v>
      </c>
      <c r="C34" t="s">
        <v>543</v>
      </c>
      <c r="D34" s="24">
        <v>45611</v>
      </c>
      <c r="E34" s="25">
        <f t="shared" ca="1" si="0"/>
        <v>354</v>
      </c>
      <c r="F34" s="22">
        <v>2905</v>
      </c>
      <c r="G34" t="e" vm="4">
        <v>#VALUE!</v>
      </c>
      <c r="H34" cm="1" vm="5">
        <f t="array" aca="1" ref="H34" ca="1">_FV(G34,"Población")</f>
        <v>1412175000</v>
      </c>
    </row>
    <row r="35" spans="1:8" x14ac:dyDescent="0.35">
      <c r="A35" t="s">
        <v>114</v>
      </c>
      <c r="B35" t="s">
        <v>425</v>
      </c>
      <c r="C35" t="s">
        <v>544</v>
      </c>
      <c r="D35" s="24">
        <v>45652</v>
      </c>
      <c r="E35" s="25">
        <f t="shared" ca="1" si="0"/>
        <v>313</v>
      </c>
      <c r="F35" s="22">
        <v>13977</v>
      </c>
      <c r="G35" t="e" vm="4">
        <v>#VALUE!</v>
      </c>
      <c r="H35" cm="1" vm="5">
        <f t="array" aca="1" ref="H35" ca="1">_FV(G35,"Población")</f>
        <v>1412175000</v>
      </c>
    </row>
    <row r="36" spans="1:8" x14ac:dyDescent="0.35">
      <c r="A36" t="s">
        <v>115</v>
      </c>
      <c r="B36" t="s">
        <v>361</v>
      </c>
      <c r="C36" t="s">
        <v>545</v>
      </c>
      <c r="D36" s="24">
        <v>45621</v>
      </c>
      <c r="E36" s="25">
        <f t="shared" ca="1" si="0"/>
        <v>344</v>
      </c>
      <c r="F36" s="22">
        <v>10819</v>
      </c>
      <c r="G36" t="e" vm="4">
        <v>#VALUE!</v>
      </c>
      <c r="H36" cm="1" vm="5">
        <f t="array" aca="1" ref="H36" ca="1">_FV(G36,"Población")</f>
        <v>1412175000</v>
      </c>
    </row>
    <row r="37" spans="1:8" x14ac:dyDescent="0.35">
      <c r="A37" t="s">
        <v>116</v>
      </c>
      <c r="B37" t="s">
        <v>81</v>
      </c>
      <c r="C37" t="s">
        <v>643</v>
      </c>
      <c r="D37" s="24">
        <v>45645</v>
      </c>
      <c r="E37" s="25">
        <f t="shared" ca="1" si="0"/>
        <v>320</v>
      </c>
      <c r="F37" s="22">
        <v>14226</v>
      </c>
      <c r="G37" t="e" vm="6">
        <v>#VALUE!</v>
      </c>
      <c r="H37" cm="1" vm="7">
        <f t="array" aca="1" ref="H37" ca="1">_FV(G37,"Población")</f>
        <v>46234830</v>
      </c>
    </row>
    <row r="38" spans="1:8" x14ac:dyDescent="0.35">
      <c r="A38" t="s">
        <v>117</v>
      </c>
      <c r="B38" t="s">
        <v>361</v>
      </c>
      <c r="C38" t="s">
        <v>432</v>
      </c>
      <c r="D38" s="24">
        <v>45670</v>
      </c>
      <c r="E38" s="25">
        <f t="shared" ca="1" si="0"/>
        <v>295</v>
      </c>
      <c r="F38" s="22">
        <v>14054</v>
      </c>
      <c r="G38" t="e" vm="2">
        <v>#VALUE!</v>
      </c>
      <c r="H38" cm="1" vm="3">
        <f t="array" aca="1" ref="H38" ca="1">_FV(G38,"Población")</f>
        <v>215313498</v>
      </c>
    </row>
    <row r="39" spans="1:8" x14ac:dyDescent="0.35">
      <c r="A39" t="s">
        <v>118</v>
      </c>
      <c r="B39" t="s">
        <v>127</v>
      </c>
      <c r="C39" t="s">
        <v>546</v>
      </c>
      <c r="D39" s="24">
        <v>45669</v>
      </c>
      <c r="E39" s="25">
        <f t="shared" ca="1" si="0"/>
        <v>296</v>
      </c>
      <c r="F39" s="22">
        <v>14015</v>
      </c>
      <c r="G39" t="e" vm="4">
        <v>#VALUE!</v>
      </c>
      <c r="H39" cm="1" vm="5">
        <f t="array" aca="1" ref="H39" ca="1">_FV(G39,"Población")</f>
        <v>1412175000</v>
      </c>
    </row>
    <row r="40" spans="1:8" x14ac:dyDescent="0.35">
      <c r="A40" t="s">
        <v>119</v>
      </c>
      <c r="B40" t="s">
        <v>81</v>
      </c>
      <c r="C40" t="s">
        <v>433</v>
      </c>
      <c r="D40" s="24">
        <v>45674</v>
      </c>
      <c r="E40" s="25">
        <f t="shared" ca="1" si="0"/>
        <v>291</v>
      </c>
      <c r="F40" s="22">
        <v>13645</v>
      </c>
      <c r="G40" t="e" vm="2">
        <v>#VALUE!</v>
      </c>
      <c r="H40" cm="1" vm="3">
        <f t="array" aca="1" ref="H40" ca="1">_FV(G40,"Población")</f>
        <v>215313498</v>
      </c>
    </row>
    <row r="41" spans="1:8" x14ac:dyDescent="0.35">
      <c r="A41" t="s">
        <v>120</v>
      </c>
      <c r="B41" t="s">
        <v>425</v>
      </c>
      <c r="C41" t="s">
        <v>644</v>
      </c>
      <c r="D41" s="24">
        <v>45668</v>
      </c>
      <c r="E41" s="25">
        <f t="shared" ca="1" si="0"/>
        <v>297</v>
      </c>
      <c r="F41" s="22">
        <v>14017</v>
      </c>
      <c r="G41" t="e" vm="6">
        <v>#VALUE!</v>
      </c>
      <c r="H41" cm="1" vm="7">
        <f t="array" aca="1" ref="H41" ca="1">_FV(G41,"Población")</f>
        <v>46234830</v>
      </c>
    </row>
    <row r="42" spans="1:8" x14ac:dyDescent="0.35">
      <c r="A42" t="s">
        <v>121</v>
      </c>
      <c r="B42" t="s">
        <v>425</v>
      </c>
      <c r="C42" t="s">
        <v>434</v>
      </c>
      <c r="D42" s="24">
        <v>45636</v>
      </c>
      <c r="E42" s="25">
        <f t="shared" ca="1" si="0"/>
        <v>329</v>
      </c>
      <c r="F42" s="22">
        <v>3229</v>
      </c>
      <c r="G42" t="e" vm="2">
        <v>#VALUE!</v>
      </c>
      <c r="H42" cm="1" vm="3">
        <f t="array" aca="1" ref="H42" ca="1">_FV(G42,"Población")</f>
        <v>215313498</v>
      </c>
    </row>
    <row r="43" spans="1:8" x14ac:dyDescent="0.35">
      <c r="A43" t="s">
        <v>122</v>
      </c>
      <c r="B43" t="s">
        <v>305</v>
      </c>
      <c r="C43" t="s">
        <v>435</v>
      </c>
      <c r="D43" s="24">
        <v>45628</v>
      </c>
      <c r="E43" s="25">
        <f t="shared" ca="1" si="0"/>
        <v>337</v>
      </c>
      <c r="F43" s="22">
        <v>13654</v>
      </c>
      <c r="G43" t="e" vm="2">
        <v>#VALUE!</v>
      </c>
      <c r="H43" cm="1" vm="3">
        <f t="array" aca="1" ref="H43" ca="1">_FV(G43,"Población")</f>
        <v>215313498</v>
      </c>
    </row>
    <row r="44" spans="1:8" x14ac:dyDescent="0.35">
      <c r="A44" t="s">
        <v>123</v>
      </c>
      <c r="B44" t="s">
        <v>350</v>
      </c>
      <c r="C44" t="s">
        <v>436</v>
      </c>
      <c r="D44" s="24">
        <v>45620</v>
      </c>
      <c r="E44" s="25">
        <f t="shared" ca="1" si="0"/>
        <v>345</v>
      </c>
      <c r="F44" s="22">
        <v>15893</v>
      </c>
      <c r="G44" t="e" vm="2">
        <v>#VALUE!</v>
      </c>
      <c r="H44" cm="1" vm="3">
        <f t="array" aca="1" ref="H44" ca="1">_FV(G44,"Población")</f>
        <v>215313498</v>
      </c>
    </row>
    <row r="45" spans="1:8" x14ac:dyDescent="0.35">
      <c r="A45" t="s">
        <v>124</v>
      </c>
      <c r="B45" t="s">
        <v>127</v>
      </c>
      <c r="C45" t="s">
        <v>645</v>
      </c>
      <c r="D45" s="24">
        <v>45606</v>
      </c>
      <c r="E45" s="25">
        <f t="shared" ca="1" si="0"/>
        <v>359</v>
      </c>
      <c r="F45" s="22">
        <v>7333</v>
      </c>
      <c r="G45" t="e" vm="6">
        <v>#VALUE!</v>
      </c>
      <c r="H45" cm="1" vm="7">
        <f t="array" aca="1" ref="H45" ca="1">_FV(G45,"Población")</f>
        <v>46234830</v>
      </c>
    </row>
    <row r="46" spans="1:8" x14ac:dyDescent="0.35">
      <c r="A46" t="s">
        <v>125</v>
      </c>
      <c r="B46" t="s">
        <v>361</v>
      </c>
      <c r="C46" t="s">
        <v>437</v>
      </c>
      <c r="D46" s="24">
        <v>45598</v>
      </c>
      <c r="E46" s="25">
        <f t="shared" ca="1" si="0"/>
        <v>367</v>
      </c>
      <c r="F46" s="22">
        <v>5222</v>
      </c>
      <c r="G46" t="e" vm="2">
        <v>#VALUE!</v>
      </c>
      <c r="H46" cm="1" vm="3">
        <f t="array" aca="1" ref="H46" ca="1">_FV(G46,"Población")</f>
        <v>215313498</v>
      </c>
    </row>
    <row r="47" spans="1:8" x14ac:dyDescent="0.35">
      <c r="A47" t="s">
        <v>126</v>
      </c>
      <c r="B47" t="s">
        <v>127</v>
      </c>
      <c r="C47" t="s">
        <v>411</v>
      </c>
      <c r="D47" s="24">
        <v>45667</v>
      </c>
      <c r="E47" s="25">
        <f t="shared" ca="1" si="0"/>
        <v>298</v>
      </c>
      <c r="F47" s="22">
        <v>9372</v>
      </c>
      <c r="G47" t="e" vm="2">
        <v>#VALUE!</v>
      </c>
      <c r="H47" cm="1" vm="3">
        <f t="array" aca="1" ref="H47" ca="1">_FV(G47,"Población")</f>
        <v>215313498</v>
      </c>
    </row>
    <row r="48" spans="1:8" x14ac:dyDescent="0.35">
      <c r="A48" t="s">
        <v>128</v>
      </c>
      <c r="B48" t="s">
        <v>350</v>
      </c>
      <c r="C48" t="s">
        <v>646</v>
      </c>
      <c r="D48" s="24">
        <v>45671</v>
      </c>
      <c r="E48" s="25">
        <f t="shared" ca="1" si="0"/>
        <v>294</v>
      </c>
      <c r="F48" s="22">
        <v>10322</v>
      </c>
      <c r="G48" t="e" vm="6">
        <v>#VALUE!</v>
      </c>
      <c r="H48" cm="1" vm="7">
        <f t="array" aca="1" ref="H48" ca="1">_FV(G48,"Población")</f>
        <v>46234830</v>
      </c>
    </row>
    <row r="49" spans="1:8" x14ac:dyDescent="0.35">
      <c r="A49" t="s">
        <v>129</v>
      </c>
      <c r="B49" t="s">
        <v>81</v>
      </c>
      <c r="C49" t="s">
        <v>647</v>
      </c>
      <c r="D49" s="24">
        <v>45633</v>
      </c>
      <c r="E49" s="25">
        <f t="shared" ca="1" si="0"/>
        <v>332</v>
      </c>
      <c r="F49" s="22">
        <v>11382</v>
      </c>
      <c r="G49" t="e" vm="6">
        <v>#VALUE!</v>
      </c>
      <c r="H49" cm="1" vm="7">
        <f t="array" aca="1" ref="H49" ca="1">_FV(G49,"Población")</f>
        <v>46234830</v>
      </c>
    </row>
    <row r="50" spans="1:8" x14ac:dyDescent="0.35">
      <c r="A50" t="s">
        <v>130</v>
      </c>
      <c r="B50" t="s">
        <v>110</v>
      </c>
      <c r="C50" t="s">
        <v>547</v>
      </c>
      <c r="D50" s="24">
        <v>45664</v>
      </c>
      <c r="E50" s="25">
        <f t="shared" ca="1" si="0"/>
        <v>301</v>
      </c>
      <c r="F50" s="22">
        <v>12591</v>
      </c>
      <c r="G50" t="e" vm="4">
        <v>#VALUE!</v>
      </c>
      <c r="H50" cm="1" vm="5">
        <f t="array" aca="1" ref="H50" ca="1">_FV(G50,"Población")</f>
        <v>1412175000</v>
      </c>
    </row>
    <row r="51" spans="1:8" x14ac:dyDescent="0.35">
      <c r="A51" t="s">
        <v>131</v>
      </c>
      <c r="B51" t="s">
        <v>110</v>
      </c>
      <c r="C51" t="s">
        <v>548</v>
      </c>
      <c r="D51" s="24">
        <v>45661</v>
      </c>
      <c r="E51" s="25">
        <f t="shared" ca="1" si="0"/>
        <v>304</v>
      </c>
      <c r="F51" s="22">
        <v>9882</v>
      </c>
      <c r="G51" t="e" vm="4">
        <v>#VALUE!</v>
      </c>
      <c r="H51" cm="1" vm="5">
        <f t="array" aca="1" ref="H51" ca="1">_FV(G51,"Población")</f>
        <v>1412175000</v>
      </c>
    </row>
    <row r="52" spans="1:8" x14ac:dyDescent="0.35">
      <c r="A52" t="s">
        <v>132</v>
      </c>
      <c r="B52" t="s">
        <v>350</v>
      </c>
      <c r="C52" t="s">
        <v>648</v>
      </c>
      <c r="D52" s="24">
        <v>45613</v>
      </c>
      <c r="E52" s="25">
        <f t="shared" ca="1" si="0"/>
        <v>352</v>
      </c>
      <c r="F52" s="22">
        <v>7292</v>
      </c>
      <c r="G52" t="e" vm="6">
        <v>#VALUE!</v>
      </c>
      <c r="H52" cm="1" vm="7">
        <f t="array" aca="1" ref="H52" ca="1">_FV(G52,"Población")</f>
        <v>46234830</v>
      </c>
    </row>
    <row r="53" spans="1:8" x14ac:dyDescent="0.35">
      <c r="A53" t="s">
        <v>133</v>
      </c>
      <c r="B53" t="s">
        <v>110</v>
      </c>
      <c r="C53" t="s">
        <v>649</v>
      </c>
      <c r="D53" s="24">
        <v>45620</v>
      </c>
      <c r="E53" s="25">
        <f t="shared" ca="1" si="0"/>
        <v>345</v>
      </c>
      <c r="F53" s="22">
        <v>4172</v>
      </c>
      <c r="G53" t="e" vm="6">
        <v>#VALUE!</v>
      </c>
      <c r="H53" cm="1" vm="7">
        <f t="array" aca="1" ref="H53" ca="1">_FV(G53,"Población")</f>
        <v>46234830</v>
      </c>
    </row>
    <row r="54" spans="1:8" x14ac:dyDescent="0.35">
      <c r="A54" t="s">
        <v>134</v>
      </c>
      <c r="B54" t="s">
        <v>350</v>
      </c>
      <c r="C54" t="s">
        <v>438</v>
      </c>
      <c r="D54" s="24">
        <v>45626</v>
      </c>
      <c r="E54" s="25">
        <f t="shared" ca="1" si="0"/>
        <v>339</v>
      </c>
      <c r="F54" s="22">
        <v>2943</v>
      </c>
      <c r="G54" t="e" vm="2">
        <v>#VALUE!</v>
      </c>
      <c r="H54" cm="1" vm="3">
        <f t="array" aca="1" ref="H54" ca="1">_FV(G54,"Población")</f>
        <v>215313498</v>
      </c>
    </row>
    <row r="55" spans="1:8" x14ac:dyDescent="0.35">
      <c r="A55" t="s">
        <v>135</v>
      </c>
      <c r="B55" t="s">
        <v>127</v>
      </c>
      <c r="C55" t="s">
        <v>650</v>
      </c>
      <c r="D55" s="24">
        <v>45681</v>
      </c>
      <c r="E55" s="25">
        <f t="shared" ca="1" si="0"/>
        <v>284</v>
      </c>
      <c r="F55" s="22">
        <v>13460</v>
      </c>
      <c r="G55" t="e" vm="6">
        <v>#VALUE!</v>
      </c>
      <c r="H55" cm="1" vm="7">
        <f t="array" aca="1" ref="H55" ca="1">_FV(G55,"Población")</f>
        <v>46234830</v>
      </c>
    </row>
    <row r="56" spans="1:8" x14ac:dyDescent="0.35">
      <c r="A56" t="s">
        <v>136</v>
      </c>
      <c r="B56" t="s">
        <v>305</v>
      </c>
      <c r="C56" t="s">
        <v>651</v>
      </c>
      <c r="D56" s="24">
        <v>45643</v>
      </c>
      <c r="E56" s="25">
        <f t="shared" ca="1" si="0"/>
        <v>322</v>
      </c>
      <c r="F56" s="22">
        <v>16662</v>
      </c>
      <c r="G56" t="e" vm="6">
        <v>#VALUE!</v>
      </c>
      <c r="H56" cm="1" vm="7">
        <f t="array" aca="1" ref="H56" ca="1">_FV(G56,"Población")</f>
        <v>46234830</v>
      </c>
    </row>
    <row r="57" spans="1:8" x14ac:dyDescent="0.35">
      <c r="A57" t="s">
        <v>137</v>
      </c>
      <c r="B57" t="s">
        <v>350</v>
      </c>
      <c r="C57" t="s">
        <v>549</v>
      </c>
      <c r="D57" s="24">
        <v>45626</v>
      </c>
      <c r="E57" s="25">
        <f t="shared" ca="1" si="0"/>
        <v>339</v>
      </c>
      <c r="F57" s="22">
        <v>2665</v>
      </c>
      <c r="G57" t="e" vm="4">
        <v>#VALUE!</v>
      </c>
      <c r="H57" cm="1" vm="5">
        <f t="array" aca="1" ref="H57" ca="1">_FV(G57,"Población")</f>
        <v>1412175000</v>
      </c>
    </row>
    <row r="58" spans="1:8" x14ac:dyDescent="0.35">
      <c r="A58" t="s">
        <v>138</v>
      </c>
      <c r="B58" t="s">
        <v>81</v>
      </c>
      <c r="C58" t="s">
        <v>439</v>
      </c>
      <c r="D58" s="24">
        <v>45608</v>
      </c>
      <c r="E58" s="25">
        <f t="shared" ca="1" si="0"/>
        <v>357</v>
      </c>
      <c r="F58" s="22">
        <v>5027</v>
      </c>
      <c r="G58" t="e" vm="2">
        <v>#VALUE!</v>
      </c>
      <c r="H58" cm="1" vm="3">
        <f t="array" aca="1" ref="H58" ca="1">_FV(G58,"Población")</f>
        <v>215313498</v>
      </c>
    </row>
    <row r="59" spans="1:8" x14ac:dyDescent="0.35">
      <c r="A59" t="s">
        <v>139</v>
      </c>
      <c r="B59" t="s">
        <v>305</v>
      </c>
      <c r="C59" t="s">
        <v>440</v>
      </c>
      <c r="D59" s="24">
        <v>45671</v>
      </c>
      <c r="E59" s="25">
        <f t="shared" ca="1" si="0"/>
        <v>294</v>
      </c>
      <c r="F59" s="22">
        <v>5438</v>
      </c>
      <c r="G59" t="e" vm="2">
        <v>#VALUE!</v>
      </c>
      <c r="H59" cm="1" vm="3">
        <f t="array" aca="1" ref="H59" ca="1">_FV(G59,"Población")</f>
        <v>215313498</v>
      </c>
    </row>
    <row r="60" spans="1:8" x14ac:dyDescent="0.35">
      <c r="A60" t="s">
        <v>140</v>
      </c>
      <c r="B60" t="s">
        <v>361</v>
      </c>
      <c r="C60" t="s">
        <v>652</v>
      </c>
      <c r="D60" s="24">
        <v>45601</v>
      </c>
      <c r="E60" s="25">
        <f t="shared" ca="1" si="0"/>
        <v>364</v>
      </c>
      <c r="F60" s="22">
        <v>1373</v>
      </c>
      <c r="G60" t="e" vm="6">
        <v>#VALUE!</v>
      </c>
      <c r="H60" cm="1" vm="7">
        <f t="array" aca="1" ref="H60" ca="1">_FV(G60,"Población")</f>
        <v>46234830</v>
      </c>
    </row>
    <row r="61" spans="1:8" x14ac:dyDescent="0.35">
      <c r="A61" t="s">
        <v>141</v>
      </c>
      <c r="B61" t="s">
        <v>350</v>
      </c>
      <c r="C61" t="s">
        <v>441</v>
      </c>
      <c r="D61" s="24">
        <v>45687</v>
      </c>
      <c r="E61" s="25">
        <f t="shared" ca="1" si="0"/>
        <v>278</v>
      </c>
      <c r="F61" s="22">
        <v>12687</v>
      </c>
      <c r="G61" t="e" vm="2">
        <v>#VALUE!</v>
      </c>
      <c r="H61" cm="1" vm="3">
        <f t="array" aca="1" ref="H61" ca="1">_FV(G61,"Población")</f>
        <v>215313498</v>
      </c>
    </row>
    <row r="62" spans="1:8" x14ac:dyDescent="0.35">
      <c r="A62" t="s">
        <v>142</v>
      </c>
      <c r="B62" t="s">
        <v>110</v>
      </c>
      <c r="C62" t="s">
        <v>550</v>
      </c>
      <c r="D62" s="24">
        <v>45603</v>
      </c>
      <c r="E62" s="25">
        <f t="shared" ca="1" si="0"/>
        <v>362</v>
      </c>
      <c r="F62" s="22">
        <v>8356</v>
      </c>
      <c r="G62" t="e" vm="4">
        <v>#VALUE!</v>
      </c>
      <c r="H62" cm="1" vm="5">
        <f t="array" aca="1" ref="H62" ca="1">_FV(G62,"Población")</f>
        <v>1412175000</v>
      </c>
    </row>
    <row r="63" spans="1:8" x14ac:dyDescent="0.35">
      <c r="A63" t="s">
        <v>143</v>
      </c>
      <c r="B63" t="s">
        <v>110</v>
      </c>
      <c r="C63" t="s">
        <v>653</v>
      </c>
      <c r="D63" s="24">
        <v>45620</v>
      </c>
      <c r="E63" s="25">
        <f t="shared" ca="1" si="0"/>
        <v>345</v>
      </c>
      <c r="F63" s="22">
        <v>19525</v>
      </c>
      <c r="G63" t="e" vm="6">
        <v>#VALUE!</v>
      </c>
      <c r="H63" cm="1" vm="7">
        <f t="array" aca="1" ref="H63" ca="1">_FV(G63,"Población")</f>
        <v>46234830</v>
      </c>
    </row>
    <row r="64" spans="1:8" x14ac:dyDescent="0.35">
      <c r="A64" t="s">
        <v>144</v>
      </c>
      <c r="B64" t="s">
        <v>81</v>
      </c>
      <c r="C64" t="s">
        <v>551</v>
      </c>
      <c r="D64" s="24">
        <v>45681</v>
      </c>
      <c r="E64" s="25">
        <f t="shared" ca="1" si="0"/>
        <v>284</v>
      </c>
      <c r="F64" s="22">
        <v>6406</v>
      </c>
      <c r="G64" t="e" vm="4">
        <v>#VALUE!</v>
      </c>
      <c r="H64" cm="1" vm="5">
        <f t="array" aca="1" ref="H64" ca="1">_FV(G64,"Población")</f>
        <v>1412175000</v>
      </c>
    </row>
    <row r="65" spans="1:8" x14ac:dyDescent="0.35">
      <c r="A65" t="s">
        <v>145</v>
      </c>
      <c r="B65" t="s">
        <v>305</v>
      </c>
      <c r="C65" t="s">
        <v>552</v>
      </c>
      <c r="D65" s="24">
        <v>45606</v>
      </c>
      <c r="E65" s="25">
        <f t="shared" ca="1" si="0"/>
        <v>359</v>
      </c>
      <c r="F65" s="22">
        <v>15977</v>
      </c>
      <c r="G65" t="e" vm="4">
        <v>#VALUE!</v>
      </c>
      <c r="H65" cm="1" vm="5">
        <f t="array" aca="1" ref="H65" ca="1">_FV(G65,"Población")</f>
        <v>1412175000</v>
      </c>
    </row>
    <row r="66" spans="1:8" x14ac:dyDescent="0.35">
      <c r="A66" t="s">
        <v>146</v>
      </c>
      <c r="B66" t="s">
        <v>425</v>
      </c>
      <c r="C66" t="s">
        <v>442</v>
      </c>
      <c r="D66" s="24">
        <v>45614</v>
      </c>
      <c r="E66" s="25">
        <f t="shared" ca="1" si="0"/>
        <v>351</v>
      </c>
      <c r="F66" s="22">
        <v>3228</v>
      </c>
      <c r="G66" t="e" vm="2">
        <v>#VALUE!</v>
      </c>
      <c r="H66" cm="1" vm="3">
        <f t="array" aca="1" ref="H66" ca="1">_FV(G66,"Población")</f>
        <v>215313498</v>
      </c>
    </row>
    <row r="67" spans="1:8" x14ac:dyDescent="0.35">
      <c r="A67" t="s">
        <v>147</v>
      </c>
      <c r="B67" t="s">
        <v>350</v>
      </c>
      <c r="C67" t="s">
        <v>553</v>
      </c>
      <c r="D67" s="24">
        <v>45600</v>
      </c>
      <c r="E67" s="25">
        <f t="shared" ref="E67:E130" ca="1" si="1">TODAY()-D67</f>
        <v>365</v>
      </c>
      <c r="F67" s="22">
        <v>11606</v>
      </c>
      <c r="G67" t="e" vm="4">
        <v>#VALUE!</v>
      </c>
      <c r="H67" cm="1" vm="5">
        <f t="array" aca="1" ref="H67" ca="1">_FV(G67,"Población")</f>
        <v>1412175000</v>
      </c>
    </row>
    <row r="68" spans="1:8" x14ac:dyDescent="0.35">
      <c r="A68" t="s">
        <v>148</v>
      </c>
      <c r="B68" t="s">
        <v>127</v>
      </c>
      <c r="C68" t="s">
        <v>654</v>
      </c>
      <c r="D68" s="24">
        <v>45682</v>
      </c>
      <c r="E68" s="25">
        <f t="shared" ca="1" si="1"/>
        <v>283</v>
      </c>
      <c r="F68" s="22">
        <v>1421</v>
      </c>
      <c r="G68" t="e" vm="6">
        <v>#VALUE!</v>
      </c>
      <c r="H68" cm="1" vm="7">
        <f t="array" aca="1" ref="H68" ca="1">_FV(G68,"Población")</f>
        <v>46234830</v>
      </c>
    </row>
    <row r="69" spans="1:8" x14ac:dyDescent="0.35">
      <c r="A69" t="s">
        <v>149</v>
      </c>
      <c r="B69" t="s">
        <v>305</v>
      </c>
      <c r="C69" t="s">
        <v>443</v>
      </c>
      <c r="D69" s="24">
        <v>45610</v>
      </c>
      <c r="E69" s="25">
        <f t="shared" ca="1" si="1"/>
        <v>355</v>
      </c>
      <c r="F69" s="22">
        <v>13641</v>
      </c>
      <c r="G69" t="e" vm="2">
        <v>#VALUE!</v>
      </c>
      <c r="H69" cm="1" vm="3">
        <f t="array" aca="1" ref="H69" ca="1">_FV(G69,"Población")</f>
        <v>215313498</v>
      </c>
    </row>
    <row r="70" spans="1:8" x14ac:dyDescent="0.35">
      <c r="A70" t="s">
        <v>150</v>
      </c>
      <c r="B70" t="s">
        <v>361</v>
      </c>
      <c r="C70" t="s">
        <v>444</v>
      </c>
      <c r="D70" s="24">
        <v>45622</v>
      </c>
      <c r="E70" s="25">
        <f t="shared" ca="1" si="1"/>
        <v>343</v>
      </c>
      <c r="F70" s="22">
        <v>4206</v>
      </c>
      <c r="G70" t="e" vm="2">
        <v>#VALUE!</v>
      </c>
      <c r="H70" cm="1" vm="3">
        <f t="array" aca="1" ref="H70" ca="1">_FV(G70,"Población")</f>
        <v>215313498</v>
      </c>
    </row>
    <row r="71" spans="1:8" x14ac:dyDescent="0.35">
      <c r="A71" t="s">
        <v>151</v>
      </c>
      <c r="B71" t="s">
        <v>110</v>
      </c>
      <c r="C71" t="s">
        <v>655</v>
      </c>
      <c r="D71" s="24">
        <v>45628</v>
      </c>
      <c r="E71" s="25">
        <f t="shared" ca="1" si="1"/>
        <v>337</v>
      </c>
      <c r="F71" s="22">
        <v>8916</v>
      </c>
      <c r="G71" t="e" vm="6">
        <v>#VALUE!</v>
      </c>
      <c r="H71" cm="1" vm="7">
        <f t="array" aca="1" ref="H71" ca="1">_FV(G71,"Población")</f>
        <v>46234830</v>
      </c>
    </row>
    <row r="72" spans="1:8" x14ac:dyDescent="0.35">
      <c r="A72" t="s">
        <v>152</v>
      </c>
      <c r="B72" t="s">
        <v>110</v>
      </c>
      <c r="C72" t="s">
        <v>445</v>
      </c>
      <c r="D72" s="24">
        <v>45633</v>
      </c>
      <c r="E72" s="25">
        <f t="shared" ca="1" si="1"/>
        <v>332</v>
      </c>
      <c r="F72" s="22">
        <v>10734</v>
      </c>
      <c r="G72" t="e" vm="2">
        <v>#VALUE!</v>
      </c>
      <c r="H72" cm="1" vm="3">
        <f t="array" aca="1" ref="H72" ca="1">_FV(G72,"Población")</f>
        <v>215313498</v>
      </c>
    </row>
    <row r="73" spans="1:8" x14ac:dyDescent="0.35">
      <c r="A73" t="s">
        <v>153</v>
      </c>
      <c r="B73" t="s">
        <v>110</v>
      </c>
      <c r="C73" t="s">
        <v>446</v>
      </c>
      <c r="D73" s="24">
        <v>45665</v>
      </c>
      <c r="E73" s="25">
        <f t="shared" ca="1" si="1"/>
        <v>300</v>
      </c>
      <c r="F73" s="22">
        <v>6795</v>
      </c>
      <c r="G73" t="e" vm="2">
        <v>#VALUE!</v>
      </c>
      <c r="H73" cm="1" vm="3">
        <f t="array" aca="1" ref="H73" ca="1">_FV(G73,"Población")</f>
        <v>215313498</v>
      </c>
    </row>
    <row r="74" spans="1:8" x14ac:dyDescent="0.35">
      <c r="A74" t="s">
        <v>154</v>
      </c>
      <c r="B74" t="s">
        <v>127</v>
      </c>
      <c r="C74" t="s">
        <v>554</v>
      </c>
      <c r="D74" s="24">
        <v>45598</v>
      </c>
      <c r="E74" s="25">
        <f t="shared" ca="1" si="1"/>
        <v>367</v>
      </c>
      <c r="F74" s="22">
        <v>15614</v>
      </c>
      <c r="G74" t="e" vm="4">
        <v>#VALUE!</v>
      </c>
      <c r="H74" cm="1" vm="5">
        <f t="array" aca="1" ref="H74" ca="1">_FV(G74,"Población")</f>
        <v>1412175000</v>
      </c>
    </row>
    <row r="75" spans="1:8" x14ac:dyDescent="0.35">
      <c r="A75" t="s">
        <v>155</v>
      </c>
      <c r="B75" t="s">
        <v>305</v>
      </c>
      <c r="C75" t="s">
        <v>555</v>
      </c>
      <c r="D75" s="24">
        <v>45646</v>
      </c>
      <c r="E75" s="25">
        <f t="shared" ca="1" si="1"/>
        <v>319</v>
      </c>
      <c r="F75" s="22">
        <v>1017</v>
      </c>
      <c r="G75" t="e" vm="4">
        <v>#VALUE!</v>
      </c>
      <c r="H75" cm="1" vm="5">
        <f t="array" aca="1" ref="H75" ca="1">_FV(G75,"Población")</f>
        <v>1412175000</v>
      </c>
    </row>
    <row r="76" spans="1:8" x14ac:dyDescent="0.35">
      <c r="A76" t="s">
        <v>156</v>
      </c>
      <c r="B76" t="s">
        <v>425</v>
      </c>
      <c r="C76" t="s">
        <v>556</v>
      </c>
      <c r="D76" s="24">
        <v>45640</v>
      </c>
      <c r="E76" s="25">
        <f t="shared" ca="1" si="1"/>
        <v>325</v>
      </c>
      <c r="F76" s="22">
        <v>17339</v>
      </c>
      <c r="G76" t="e" vm="4">
        <v>#VALUE!</v>
      </c>
      <c r="H76" cm="1" vm="5">
        <f t="array" aca="1" ref="H76" ca="1">_FV(G76,"Población")</f>
        <v>1412175000</v>
      </c>
    </row>
    <row r="77" spans="1:8" x14ac:dyDescent="0.35">
      <c r="A77" t="s">
        <v>157</v>
      </c>
      <c r="B77" t="s">
        <v>110</v>
      </c>
      <c r="C77" t="s">
        <v>557</v>
      </c>
      <c r="D77" s="24">
        <v>45640</v>
      </c>
      <c r="E77" s="25">
        <f t="shared" ca="1" si="1"/>
        <v>325</v>
      </c>
      <c r="F77" s="22">
        <v>17939</v>
      </c>
      <c r="G77" t="e" vm="4">
        <v>#VALUE!</v>
      </c>
      <c r="H77" cm="1" vm="5">
        <f t="array" aca="1" ref="H77" ca="1">_FV(G77,"Población")</f>
        <v>1412175000</v>
      </c>
    </row>
    <row r="78" spans="1:8" x14ac:dyDescent="0.35">
      <c r="A78" t="s">
        <v>158</v>
      </c>
      <c r="B78" t="s">
        <v>127</v>
      </c>
      <c r="C78" t="s">
        <v>447</v>
      </c>
      <c r="D78" s="24">
        <v>45642</v>
      </c>
      <c r="E78" s="25">
        <f t="shared" ca="1" si="1"/>
        <v>323</v>
      </c>
      <c r="F78" s="22">
        <v>4292</v>
      </c>
      <c r="G78" t="e" vm="2">
        <v>#VALUE!</v>
      </c>
      <c r="H78" cm="1" vm="3">
        <f t="array" aca="1" ref="H78" ca="1">_FV(G78,"Población")</f>
        <v>215313498</v>
      </c>
    </row>
    <row r="79" spans="1:8" x14ac:dyDescent="0.35">
      <c r="A79" t="s">
        <v>159</v>
      </c>
      <c r="B79" t="s">
        <v>425</v>
      </c>
      <c r="C79" t="s">
        <v>448</v>
      </c>
      <c r="D79" s="24">
        <v>45606</v>
      </c>
      <c r="E79" s="25">
        <f t="shared" ca="1" si="1"/>
        <v>359</v>
      </c>
      <c r="F79" s="22">
        <v>8975</v>
      </c>
      <c r="G79" t="e" vm="2">
        <v>#VALUE!</v>
      </c>
      <c r="H79" cm="1" vm="3">
        <f t="array" aca="1" ref="H79" ca="1">_FV(G79,"Población")</f>
        <v>215313498</v>
      </c>
    </row>
    <row r="80" spans="1:8" x14ac:dyDescent="0.35">
      <c r="A80" t="s">
        <v>160</v>
      </c>
      <c r="B80" t="s">
        <v>425</v>
      </c>
      <c r="C80" t="s">
        <v>558</v>
      </c>
      <c r="D80" s="24">
        <v>45615</v>
      </c>
      <c r="E80" s="25">
        <f t="shared" ca="1" si="1"/>
        <v>350</v>
      </c>
      <c r="F80" s="22">
        <v>18397</v>
      </c>
      <c r="G80" t="e" vm="4">
        <v>#VALUE!</v>
      </c>
      <c r="H80" cm="1" vm="5">
        <f t="array" aca="1" ref="H80" ca="1">_FV(G80,"Población")</f>
        <v>1412175000</v>
      </c>
    </row>
    <row r="81" spans="1:8" x14ac:dyDescent="0.35">
      <c r="A81" t="s">
        <v>161</v>
      </c>
      <c r="B81" t="s">
        <v>127</v>
      </c>
      <c r="C81" t="s">
        <v>656</v>
      </c>
      <c r="D81" s="24">
        <v>45603</v>
      </c>
      <c r="E81" s="25">
        <f t="shared" ca="1" si="1"/>
        <v>362</v>
      </c>
      <c r="F81" s="22">
        <v>16951</v>
      </c>
      <c r="G81" t="e" vm="6">
        <v>#VALUE!</v>
      </c>
      <c r="H81" cm="1" vm="7">
        <f t="array" aca="1" ref="H81" ca="1">_FV(G81,"Población")</f>
        <v>46234830</v>
      </c>
    </row>
    <row r="82" spans="1:8" x14ac:dyDescent="0.35">
      <c r="A82" t="s">
        <v>162</v>
      </c>
      <c r="B82" t="s">
        <v>350</v>
      </c>
      <c r="C82" t="s">
        <v>657</v>
      </c>
      <c r="D82" s="24">
        <v>45675</v>
      </c>
      <c r="E82" s="25">
        <f t="shared" ca="1" si="1"/>
        <v>290</v>
      </c>
      <c r="F82" s="22">
        <v>9083</v>
      </c>
      <c r="G82" t="e" vm="6">
        <v>#VALUE!</v>
      </c>
      <c r="H82" cm="1" vm="7">
        <f t="array" aca="1" ref="H82" ca="1">_FV(G82,"Población")</f>
        <v>46234830</v>
      </c>
    </row>
    <row r="83" spans="1:8" x14ac:dyDescent="0.35">
      <c r="A83" t="s">
        <v>163</v>
      </c>
      <c r="B83" t="s">
        <v>110</v>
      </c>
      <c r="C83" t="s">
        <v>658</v>
      </c>
      <c r="D83" s="24">
        <v>45653</v>
      </c>
      <c r="E83" s="25">
        <f t="shared" ca="1" si="1"/>
        <v>312</v>
      </c>
      <c r="F83" s="22">
        <v>2891</v>
      </c>
      <c r="G83" t="e" vm="6">
        <v>#VALUE!</v>
      </c>
      <c r="H83" cm="1" vm="7">
        <f t="array" aca="1" ref="H83" ca="1">_FV(G83,"Población")</f>
        <v>46234830</v>
      </c>
    </row>
    <row r="84" spans="1:8" x14ac:dyDescent="0.35">
      <c r="A84" t="s">
        <v>164</v>
      </c>
      <c r="B84" t="s">
        <v>81</v>
      </c>
      <c r="C84" t="s">
        <v>559</v>
      </c>
      <c r="D84" s="24">
        <v>45666</v>
      </c>
      <c r="E84" s="25">
        <f t="shared" ca="1" si="1"/>
        <v>299</v>
      </c>
      <c r="F84" s="22">
        <v>3912</v>
      </c>
      <c r="G84" t="e" vm="4">
        <v>#VALUE!</v>
      </c>
      <c r="H84" cm="1" vm="5">
        <f t="array" aca="1" ref="H84" ca="1">_FV(G84,"Población")</f>
        <v>1412175000</v>
      </c>
    </row>
    <row r="85" spans="1:8" x14ac:dyDescent="0.35">
      <c r="A85" t="s">
        <v>165</v>
      </c>
      <c r="B85" t="s">
        <v>350</v>
      </c>
      <c r="C85" t="s">
        <v>449</v>
      </c>
      <c r="D85" s="24">
        <v>45597</v>
      </c>
      <c r="E85" s="25">
        <f t="shared" ca="1" si="1"/>
        <v>368</v>
      </c>
      <c r="F85" s="22">
        <v>16032</v>
      </c>
      <c r="G85" t="e" vm="2">
        <v>#VALUE!</v>
      </c>
      <c r="H85" cm="1" vm="3">
        <f t="array" aca="1" ref="H85" ca="1">_FV(G85,"Población")</f>
        <v>215313498</v>
      </c>
    </row>
    <row r="86" spans="1:8" x14ac:dyDescent="0.35">
      <c r="A86" t="s">
        <v>166</v>
      </c>
      <c r="B86" t="s">
        <v>127</v>
      </c>
      <c r="C86" t="s">
        <v>450</v>
      </c>
      <c r="D86" s="24">
        <v>45641</v>
      </c>
      <c r="E86" s="25">
        <f t="shared" ca="1" si="1"/>
        <v>324</v>
      </c>
      <c r="F86" s="22">
        <v>9773</v>
      </c>
      <c r="G86" t="e" vm="2">
        <v>#VALUE!</v>
      </c>
      <c r="H86" cm="1" vm="3">
        <f t="array" aca="1" ref="H86" ca="1">_FV(G86,"Población")</f>
        <v>215313498</v>
      </c>
    </row>
    <row r="87" spans="1:8" x14ac:dyDescent="0.35">
      <c r="A87" t="s">
        <v>167</v>
      </c>
      <c r="B87" t="s">
        <v>361</v>
      </c>
      <c r="C87" t="s">
        <v>560</v>
      </c>
      <c r="D87" s="24">
        <v>45599</v>
      </c>
      <c r="E87" s="25">
        <f t="shared" ca="1" si="1"/>
        <v>366</v>
      </c>
      <c r="F87" s="22">
        <v>12734</v>
      </c>
      <c r="G87" t="e" vm="4">
        <v>#VALUE!</v>
      </c>
      <c r="H87" cm="1" vm="5">
        <f t="array" aca="1" ref="H87" ca="1">_FV(G87,"Población")</f>
        <v>1412175000</v>
      </c>
    </row>
    <row r="88" spans="1:8" x14ac:dyDescent="0.35">
      <c r="A88" t="s">
        <v>168</v>
      </c>
      <c r="B88" t="s">
        <v>425</v>
      </c>
      <c r="C88" t="s">
        <v>451</v>
      </c>
      <c r="D88" s="24">
        <v>45662</v>
      </c>
      <c r="E88" s="25">
        <f t="shared" ca="1" si="1"/>
        <v>303</v>
      </c>
      <c r="F88" s="22">
        <v>5561</v>
      </c>
      <c r="G88" t="e" vm="2">
        <v>#VALUE!</v>
      </c>
      <c r="H88" cm="1" vm="3">
        <f t="array" aca="1" ref="H88" ca="1">_FV(G88,"Población")</f>
        <v>215313498</v>
      </c>
    </row>
    <row r="89" spans="1:8" x14ac:dyDescent="0.35">
      <c r="A89" t="s">
        <v>169</v>
      </c>
      <c r="B89" t="s">
        <v>305</v>
      </c>
      <c r="C89" t="s">
        <v>659</v>
      </c>
      <c r="D89" s="24">
        <v>45676</v>
      </c>
      <c r="E89" s="25">
        <f t="shared" ca="1" si="1"/>
        <v>289</v>
      </c>
      <c r="F89" s="22">
        <v>3590</v>
      </c>
      <c r="G89" t="e" vm="6">
        <v>#VALUE!</v>
      </c>
      <c r="H89" cm="1" vm="7">
        <f t="array" aca="1" ref="H89" ca="1">_FV(G89,"Población")</f>
        <v>46234830</v>
      </c>
    </row>
    <row r="90" spans="1:8" x14ac:dyDescent="0.35">
      <c r="A90" t="s">
        <v>170</v>
      </c>
      <c r="B90" t="s">
        <v>305</v>
      </c>
      <c r="C90" t="s">
        <v>561</v>
      </c>
      <c r="D90" s="24">
        <v>45656</v>
      </c>
      <c r="E90" s="25">
        <f t="shared" ca="1" si="1"/>
        <v>309</v>
      </c>
      <c r="F90" s="22">
        <v>13155</v>
      </c>
      <c r="G90" t="e" vm="4">
        <v>#VALUE!</v>
      </c>
      <c r="H90" cm="1" vm="5">
        <f t="array" aca="1" ref="H90" ca="1">_FV(G90,"Población")</f>
        <v>1412175000</v>
      </c>
    </row>
    <row r="91" spans="1:8" x14ac:dyDescent="0.35">
      <c r="A91" t="s">
        <v>171</v>
      </c>
      <c r="B91" t="s">
        <v>110</v>
      </c>
      <c r="C91" t="s">
        <v>562</v>
      </c>
      <c r="D91" s="24">
        <v>45650</v>
      </c>
      <c r="E91" s="25">
        <f t="shared" ca="1" si="1"/>
        <v>315</v>
      </c>
      <c r="F91" s="22">
        <v>18016</v>
      </c>
      <c r="G91" t="e" vm="4">
        <v>#VALUE!</v>
      </c>
      <c r="H91" cm="1" vm="5">
        <f t="array" aca="1" ref="H91" ca="1">_FV(G91,"Población")</f>
        <v>1412175000</v>
      </c>
    </row>
    <row r="92" spans="1:8" x14ac:dyDescent="0.35">
      <c r="A92" t="s">
        <v>172</v>
      </c>
      <c r="B92" t="s">
        <v>350</v>
      </c>
      <c r="C92" t="s">
        <v>452</v>
      </c>
      <c r="D92" s="24">
        <v>45634</v>
      </c>
      <c r="E92" s="25">
        <f t="shared" ca="1" si="1"/>
        <v>331</v>
      </c>
      <c r="F92" s="22">
        <v>19192</v>
      </c>
      <c r="G92" t="e" vm="2">
        <v>#VALUE!</v>
      </c>
      <c r="H92" cm="1" vm="3">
        <f t="array" aca="1" ref="H92" ca="1">_FV(G92,"Población")</f>
        <v>215313498</v>
      </c>
    </row>
    <row r="93" spans="1:8" x14ac:dyDescent="0.35">
      <c r="A93" t="s">
        <v>173</v>
      </c>
      <c r="B93" t="s">
        <v>425</v>
      </c>
      <c r="C93" t="s">
        <v>453</v>
      </c>
      <c r="D93" s="24">
        <v>45599</v>
      </c>
      <c r="E93" s="25">
        <f t="shared" ca="1" si="1"/>
        <v>366</v>
      </c>
      <c r="F93" s="22">
        <v>16909</v>
      </c>
      <c r="G93" t="e" vm="2">
        <v>#VALUE!</v>
      </c>
      <c r="H93" cm="1" vm="3">
        <f t="array" aca="1" ref="H93" ca="1">_FV(G93,"Población")</f>
        <v>215313498</v>
      </c>
    </row>
    <row r="94" spans="1:8" x14ac:dyDescent="0.35">
      <c r="A94" t="s">
        <v>174</v>
      </c>
      <c r="B94" t="s">
        <v>361</v>
      </c>
      <c r="C94" t="s">
        <v>660</v>
      </c>
      <c r="D94" s="24">
        <v>45663</v>
      </c>
      <c r="E94" s="25">
        <f t="shared" ca="1" si="1"/>
        <v>302</v>
      </c>
      <c r="F94" s="22">
        <v>14028</v>
      </c>
      <c r="G94" t="e" vm="6">
        <v>#VALUE!</v>
      </c>
      <c r="H94" cm="1" vm="7">
        <f t="array" aca="1" ref="H94" ca="1">_FV(G94,"Población")</f>
        <v>46234830</v>
      </c>
    </row>
    <row r="95" spans="1:8" x14ac:dyDescent="0.35">
      <c r="A95" t="s">
        <v>175</v>
      </c>
      <c r="B95" t="s">
        <v>361</v>
      </c>
      <c r="C95" t="s">
        <v>661</v>
      </c>
      <c r="D95" s="24">
        <v>45640</v>
      </c>
      <c r="E95" s="25">
        <f t="shared" ca="1" si="1"/>
        <v>325</v>
      </c>
      <c r="F95" s="22">
        <v>6054</v>
      </c>
      <c r="G95" t="e" vm="6">
        <v>#VALUE!</v>
      </c>
      <c r="H95" cm="1" vm="7">
        <f t="array" aca="1" ref="H95" ca="1">_FV(G95,"Población")</f>
        <v>46234830</v>
      </c>
    </row>
    <row r="96" spans="1:8" x14ac:dyDescent="0.35">
      <c r="A96" t="s">
        <v>176</v>
      </c>
      <c r="B96" t="s">
        <v>361</v>
      </c>
      <c r="C96" t="s">
        <v>563</v>
      </c>
      <c r="D96" s="24">
        <v>45682</v>
      </c>
      <c r="E96" s="25">
        <f t="shared" ca="1" si="1"/>
        <v>283</v>
      </c>
      <c r="F96" s="22">
        <v>15417</v>
      </c>
      <c r="G96" t="e" vm="4">
        <v>#VALUE!</v>
      </c>
      <c r="H96" cm="1" vm="5">
        <f t="array" aca="1" ref="H96" ca="1">_FV(G96,"Población")</f>
        <v>1412175000</v>
      </c>
    </row>
    <row r="97" spans="1:8" x14ac:dyDescent="0.35">
      <c r="A97" t="s">
        <v>177</v>
      </c>
      <c r="B97" t="s">
        <v>361</v>
      </c>
      <c r="C97" t="s">
        <v>564</v>
      </c>
      <c r="D97" s="24">
        <v>45608</v>
      </c>
      <c r="E97" s="25">
        <f t="shared" ca="1" si="1"/>
        <v>357</v>
      </c>
      <c r="F97" s="22">
        <v>5773</v>
      </c>
      <c r="G97" t="e" vm="4">
        <v>#VALUE!</v>
      </c>
      <c r="H97" cm="1" vm="5">
        <f t="array" aca="1" ref="H97" ca="1">_FV(G97,"Población")</f>
        <v>1412175000</v>
      </c>
    </row>
    <row r="98" spans="1:8" x14ac:dyDescent="0.35">
      <c r="A98" t="s">
        <v>178</v>
      </c>
      <c r="B98" t="s">
        <v>361</v>
      </c>
      <c r="C98" t="s">
        <v>454</v>
      </c>
      <c r="D98" s="24">
        <v>45661</v>
      </c>
      <c r="E98" s="25">
        <f t="shared" ca="1" si="1"/>
        <v>304</v>
      </c>
      <c r="F98" s="22">
        <v>6192</v>
      </c>
      <c r="G98" t="e" vm="2">
        <v>#VALUE!</v>
      </c>
      <c r="H98" cm="1" vm="3">
        <f t="array" aca="1" ref="H98" ca="1">_FV(G98,"Población")</f>
        <v>215313498</v>
      </c>
    </row>
    <row r="99" spans="1:8" x14ac:dyDescent="0.35">
      <c r="A99" t="s">
        <v>179</v>
      </c>
      <c r="B99" t="s">
        <v>81</v>
      </c>
      <c r="C99" t="s">
        <v>565</v>
      </c>
      <c r="D99" s="24">
        <v>45658</v>
      </c>
      <c r="E99" s="25">
        <f t="shared" ca="1" si="1"/>
        <v>307</v>
      </c>
      <c r="F99" s="22">
        <v>10880</v>
      </c>
      <c r="G99" t="e" vm="4">
        <v>#VALUE!</v>
      </c>
      <c r="H99" cm="1" vm="5">
        <f t="array" aca="1" ref="H99" ca="1">_FV(G99,"Población")</f>
        <v>1412175000</v>
      </c>
    </row>
    <row r="100" spans="1:8" x14ac:dyDescent="0.35">
      <c r="A100" t="s">
        <v>180</v>
      </c>
      <c r="B100" t="s">
        <v>361</v>
      </c>
      <c r="C100" t="s">
        <v>455</v>
      </c>
      <c r="D100" s="24">
        <v>45663</v>
      </c>
      <c r="E100" s="25">
        <f t="shared" ca="1" si="1"/>
        <v>302</v>
      </c>
      <c r="F100" s="22">
        <v>15466</v>
      </c>
      <c r="G100" t="e" vm="2">
        <v>#VALUE!</v>
      </c>
      <c r="H100" cm="1" vm="3">
        <f t="array" aca="1" ref="H100" ca="1">_FV(G100,"Población")</f>
        <v>215313498</v>
      </c>
    </row>
    <row r="101" spans="1:8" x14ac:dyDescent="0.35">
      <c r="A101" t="s">
        <v>181</v>
      </c>
      <c r="B101" t="s">
        <v>305</v>
      </c>
      <c r="C101" t="s">
        <v>566</v>
      </c>
      <c r="D101" s="24">
        <v>45644</v>
      </c>
      <c r="E101" s="25">
        <f t="shared" ca="1" si="1"/>
        <v>321</v>
      </c>
      <c r="F101" s="22">
        <v>11611</v>
      </c>
      <c r="G101" t="e" vm="4">
        <v>#VALUE!</v>
      </c>
      <c r="H101" cm="1" vm="5">
        <f t="array" aca="1" ref="H101" ca="1">_FV(G101,"Población")</f>
        <v>1412175000</v>
      </c>
    </row>
    <row r="102" spans="1:8" x14ac:dyDescent="0.35">
      <c r="A102" t="s">
        <v>182</v>
      </c>
      <c r="B102" t="s">
        <v>425</v>
      </c>
      <c r="C102" t="s">
        <v>456</v>
      </c>
      <c r="D102" s="24">
        <v>45673</v>
      </c>
      <c r="E102" s="25">
        <f t="shared" ca="1" si="1"/>
        <v>292</v>
      </c>
      <c r="F102" s="22">
        <v>3372</v>
      </c>
      <c r="G102" t="e" vm="2">
        <v>#VALUE!</v>
      </c>
      <c r="H102" cm="1" vm="3">
        <f t="array" aca="1" ref="H102" ca="1">_FV(G102,"Población")</f>
        <v>215313498</v>
      </c>
    </row>
    <row r="103" spans="1:8" x14ac:dyDescent="0.35">
      <c r="A103" t="s">
        <v>183</v>
      </c>
      <c r="B103" t="s">
        <v>127</v>
      </c>
      <c r="C103" t="s">
        <v>567</v>
      </c>
      <c r="D103" s="24">
        <v>45638</v>
      </c>
      <c r="E103" s="25">
        <f t="shared" ca="1" si="1"/>
        <v>327</v>
      </c>
      <c r="F103" s="22">
        <v>15712</v>
      </c>
      <c r="G103" t="e" vm="4">
        <v>#VALUE!</v>
      </c>
      <c r="H103" cm="1" vm="5">
        <f t="array" aca="1" ref="H103" ca="1">_FV(G103,"Población")</f>
        <v>1412175000</v>
      </c>
    </row>
    <row r="104" spans="1:8" x14ac:dyDescent="0.35">
      <c r="A104" t="s">
        <v>184</v>
      </c>
      <c r="B104" t="s">
        <v>361</v>
      </c>
      <c r="C104" t="s">
        <v>662</v>
      </c>
      <c r="D104" s="24">
        <v>45627</v>
      </c>
      <c r="E104" s="25">
        <f t="shared" ca="1" si="1"/>
        <v>338</v>
      </c>
      <c r="F104" s="22">
        <v>17454</v>
      </c>
      <c r="G104" t="e" vm="6">
        <v>#VALUE!</v>
      </c>
      <c r="H104" cm="1" vm="7">
        <f t="array" aca="1" ref="H104" ca="1">_FV(G104,"Población")</f>
        <v>46234830</v>
      </c>
    </row>
    <row r="105" spans="1:8" x14ac:dyDescent="0.35">
      <c r="A105" t="s">
        <v>185</v>
      </c>
      <c r="B105" t="s">
        <v>110</v>
      </c>
      <c r="C105" t="s">
        <v>663</v>
      </c>
      <c r="D105" s="24">
        <v>45673</v>
      </c>
      <c r="E105" s="25">
        <f t="shared" ca="1" si="1"/>
        <v>292</v>
      </c>
      <c r="F105" s="22">
        <v>13980</v>
      </c>
      <c r="G105" t="e" vm="6">
        <v>#VALUE!</v>
      </c>
      <c r="H105" cm="1" vm="7">
        <f t="array" aca="1" ref="H105" ca="1">_FV(G105,"Población")</f>
        <v>46234830</v>
      </c>
    </row>
    <row r="106" spans="1:8" x14ac:dyDescent="0.35">
      <c r="A106" t="s">
        <v>186</v>
      </c>
      <c r="B106" t="s">
        <v>110</v>
      </c>
      <c r="C106" t="s">
        <v>457</v>
      </c>
      <c r="D106" s="24">
        <v>45661</v>
      </c>
      <c r="E106" s="25">
        <f t="shared" ca="1" si="1"/>
        <v>304</v>
      </c>
      <c r="F106" s="22">
        <v>5588</v>
      </c>
      <c r="G106" t="e" vm="2">
        <v>#VALUE!</v>
      </c>
      <c r="H106" cm="1" vm="3">
        <f t="array" aca="1" ref="H106" ca="1">_FV(G106,"Población")</f>
        <v>215313498</v>
      </c>
    </row>
    <row r="107" spans="1:8" x14ac:dyDescent="0.35">
      <c r="A107" t="s">
        <v>187</v>
      </c>
      <c r="B107" t="s">
        <v>361</v>
      </c>
      <c r="C107" t="s">
        <v>568</v>
      </c>
      <c r="D107" s="24">
        <v>45630</v>
      </c>
      <c r="E107" s="25">
        <f t="shared" ca="1" si="1"/>
        <v>335</v>
      </c>
      <c r="F107" s="22">
        <v>12010</v>
      </c>
      <c r="G107" t="e" vm="4">
        <v>#VALUE!</v>
      </c>
      <c r="H107" cm="1" vm="5">
        <f t="array" aca="1" ref="H107" ca="1">_FV(G107,"Población")</f>
        <v>1412175000</v>
      </c>
    </row>
    <row r="108" spans="1:8" x14ac:dyDescent="0.35">
      <c r="A108" t="s">
        <v>188</v>
      </c>
      <c r="B108" t="s">
        <v>305</v>
      </c>
      <c r="C108" t="s">
        <v>664</v>
      </c>
      <c r="D108" s="24">
        <v>45665</v>
      </c>
      <c r="E108" s="25">
        <f t="shared" ca="1" si="1"/>
        <v>300</v>
      </c>
      <c r="F108" s="22">
        <v>14619</v>
      </c>
      <c r="G108" t="e" vm="6">
        <v>#VALUE!</v>
      </c>
      <c r="H108" cm="1" vm="7">
        <f t="array" aca="1" ref="H108" ca="1">_FV(G108,"Población")</f>
        <v>46234830</v>
      </c>
    </row>
    <row r="109" spans="1:8" x14ac:dyDescent="0.35">
      <c r="A109" t="s">
        <v>189</v>
      </c>
      <c r="B109" t="s">
        <v>305</v>
      </c>
      <c r="C109" t="s">
        <v>458</v>
      </c>
      <c r="D109" s="24">
        <v>45650</v>
      </c>
      <c r="E109" s="25">
        <f t="shared" ca="1" si="1"/>
        <v>315</v>
      </c>
      <c r="F109" s="22">
        <v>2531</v>
      </c>
      <c r="G109" t="e" vm="2">
        <v>#VALUE!</v>
      </c>
      <c r="H109" cm="1" vm="3">
        <f t="array" aca="1" ref="H109" ca="1">_FV(G109,"Población")</f>
        <v>215313498</v>
      </c>
    </row>
    <row r="110" spans="1:8" x14ac:dyDescent="0.35">
      <c r="A110" t="s">
        <v>190</v>
      </c>
      <c r="B110" t="s">
        <v>81</v>
      </c>
      <c r="C110" t="s">
        <v>665</v>
      </c>
      <c r="D110" s="24">
        <v>45641</v>
      </c>
      <c r="E110" s="25">
        <f t="shared" ca="1" si="1"/>
        <v>324</v>
      </c>
      <c r="F110" s="22">
        <v>7682</v>
      </c>
      <c r="G110" t="e" vm="6">
        <v>#VALUE!</v>
      </c>
      <c r="H110" cm="1" vm="7">
        <f t="array" aca="1" ref="H110" ca="1">_FV(G110,"Población")</f>
        <v>46234830</v>
      </c>
    </row>
    <row r="111" spans="1:8" x14ac:dyDescent="0.35">
      <c r="A111" t="s">
        <v>191</v>
      </c>
      <c r="B111" t="s">
        <v>361</v>
      </c>
      <c r="C111" t="s">
        <v>666</v>
      </c>
      <c r="D111" s="24">
        <v>45687</v>
      </c>
      <c r="E111" s="25">
        <f t="shared" ca="1" si="1"/>
        <v>278</v>
      </c>
      <c r="F111" s="22">
        <v>15925</v>
      </c>
      <c r="G111" t="e" vm="6">
        <v>#VALUE!</v>
      </c>
      <c r="H111" cm="1" vm="7">
        <f t="array" aca="1" ref="H111" ca="1">_FV(G111,"Población")</f>
        <v>46234830</v>
      </c>
    </row>
    <row r="112" spans="1:8" x14ac:dyDescent="0.35">
      <c r="A112" t="s">
        <v>192</v>
      </c>
      <c r="B112" t="s">
        <v>110</v>
      </c>
      <c r="C112" t="s">
        <v>569</v>
      </c>
      <c r="D112" s="24">
        <v>45641</v>
      </c>
      <c r="E112" s="25">
        <f t="shared" ca="1" si="1"/>
        <v>324</v>
      </c>
      <c r="F112" s="22">
        <v>3501</v>
      </c>
      <c r="G112" t="e" vm="4">
        <v>#VALUE!</v>
      </c>
      <c r="H112" cm="1" vm="5">
        <f t="array" aca="1" ref="H112" ca="1">_FV(G112,"Población")</f>
        <v>1412175000</v>
      </c>
    </row>
    <row r="113" spans="1:8" x14ac:dyDescent="0.35">
      <c r="A113" t="s">
        <v>193</v>
      </c>
      <c r="B113" t="s">
        <v>361</v>
      </c>
      <c r="C113" t="s">
        <v>667</v>
      </c>
      <c r="D113" s="24">
        <v>45668</v>
      </c>
      <c r="E113" s="25">
        <f t="shared" ca="1" si="1"/>
        <v>297</v>
      </c>
      <c r="F113" s="22">
        <v>7700</v>
      </c>
      <c r="G113" t="e" vm="6">
        <v>#VALUE!</v>
      </c>
      <c r="H113" cm="1" vm="7">
        <f t="array" aca="1" ref="H113" ca="1">_FV(G113,"Población")</f>
        <v>46234830</v>
      </c>
    </row>
    <row r="114" spans="1:8" x14ac:dyDescent="0.35">
      <c r="A114" t="s">
        <v>194</v>
      </c>
      <c r="B114" t="s">
        <v>350</v>
      </c>
      <c r="C114" t="s">
        <v>570</v>
      </c>
      <c r="D114" s="24">
        <v>45613</v>
      </c>
      <c r="E114" s="25">
        <f t="shared" ca="1" si="1"/>
        <v>352</v>
      </c>
      <c r="F114" s="22">
        <v>12379</v>
      </c>
      <c r="G114" t="e" vm="4">
        <v>#VALUE!</v>
      </c>
      <c r="H114" cm="1" vm="5">
        <f t="array" aca="1" ref="H114" ca="1">_FV(G114,"Población")</f>
        <v>1412175000</v>
      </c>
    </row>
    <row r="115" spans="1:8" x14ac:dyDescent="0.35">
      <c r="A115" t="s">
        <v>195</v>
      </c>
      <c r="B115" t="s">
        <v>361</v>
      </c>
      <c r="C115" t="s">
        <v>668</v>
      </c>
      <c r="D115" s="24">
        <v>45651</v>
      </c>
      <c r="E115" s="25">
        <f t="shared" ca="1" si="1"/>
        <v>314</v>
      </c>
      <c r="F115" s="22">
        <v>8039</v>
      </c>
      <c r="G115" t="e" vm="6">
        <v>#VALUE!</v>
      </c>
      <c r="H115" cm="1" vm="7">
        <f t="array" aca="1" ref="H115" ca="1">_FV(G115,"Población")</f>
        <v>46234830</v>
      </c>
    </row>
    <row r="116" spans="1:8" x14ac:dyDescent="0.35">
      <c r="A116" t="s">
        <v>196</v>
      </c>
      <c r="B116" t="s">
        <v>361</v>
      </c>
      <c r="C116" t="s">
        <v>459</v>
      </c>
      <c r="D116" s="24">
        <v>45627</v>
      </c>
      <c r="E116" s="25">
        <f t="shared" ca="1" si="1"/>
        <v>338</v>
      </c>
      <c r="F116" s="22">
        <v>9212</v>
      </c>
      <c r="G116" t="e" vm="2">
        <v>#VALUE!</v>
      </c>
      <c r="H116" cm="1" vm="3">
        <f t="array" aca="1" ref="H116" ca="1">_FV(G116,"Población")</f>
        <v>215313498</v>
      </c>
    </row>
    <row r="117" spans="1:8" x14ac:dyDescent="0.35">
      <c r="A117" t="s">
        <v>197</v>
      </c>
      <c r="B117" t="s">
        <v>110</v>
      </c>
      <c r="C117" t="s">
        <v>460</v>
      </c>
      <c r="D117" s="24">
        <v>45668</v>
      </c>
      <c r="E117" s="25">
        <f t="shared" ca="1" si="1"/>
        <v>297</v>
      </c>
      <c r="F117" s="22">
        <v>8677</v>
      </c>
      <c r="G117" t="e" vm="2">
        <v>#VALUE!</v>
      </c>
      <c r="H117" cm="1" vm="3">
        <f t="array" aca="1" ref="H117" ca="1">_FV(G117,"Población")</f>
        <v>215313498</v>
      </c>
    </row>
    <row r="118" spans="1:8" x14ac:dyDescent="0.35">
      <c r="A118" t="s">
        <v>198</v>
      </c>
      <c r="B118" t="s">
        <v>305</v>
      </c>
      <c r="C118" t="s">
        <v>461</v>
      </c>
      <c r="D118" s="24">
        <v>45681</v>
      </c>
      <c r="E118" s="25">
        <f t="shared" ca="1" si="1"/>
        <v>284</v>
      </c>
      <c r="F118" s="22">
        <v>6957</v>
      </c>
      <c r="G118" t="e" vm="2">
        <v>#VALUE!</v>
      </c>
      <c r="H118" cm="1" vm="3">
        <f t="array" aca="1" ref="H118" ca="1">_FV(G118,"Población")</f>
        <v>215313498</v>
      </c>
    </row>
    <row r="119" spans="1:8" x14ac:dyDescent="0.35">
      <c r="A119" t="s">
        <v>199</v>
      </c>
      <c r="B119" t="s">
        <v>127</v>
      </c>
      <c r="C119" t="s">
        <v>462</v>
      </c>
      <c r="D119" s="24">
        <v>45666</v>
      </c>
      <c r="E119" s="25">
        <f t="shared" ca="1" si="1"/>
        <v>299</v>
      </c>
      <c r="F119" s="22">
        <v>2693</v>
      </c>
      <c r="G119" t="e" vm="2">
        <v>#VALUE!</v>
      </c>
      <c r="H119" cm="1" vm="3">
        <f t="array" aca="1" ref="H119" ca="1">_FV(G119,"Población")</f>
        <v>215313498</v>
      </c>
    </row>
    <row r="120" spans="1:8" x14ac:dyDescent="0.35">
      <c r="A120" t="s">
        <v>200</v>
      </c>
      <c r="B120" t="s">
        <v>127</v>
      </c>
      <c r="C120" t="s">
        <v>463</v>
      </c>
      <c r="D120" s="24">
        <v>45666</v>
      </c>
      <c r="E120" s="25">
        <f t="shared" ca="1" si="1"/>
        <v>299</v>
      </c>
      <c r="F120" s="22">
        <v>7190</v>
      </c>
      <c r="G120" t="e" vm="2">
        <v>#VALUE!</v>
      </c>
      <c r="H120" cm="1" vm="3">
        <f t="array" aca="1" ref="H120" ca="1">_FV(G120,"Población")</f>
        <v>215313498</v>
      </c>
    </row>
    <row r="121" spans="1:8" x14ac:dyDescent="0.35">
      <c r="A121" t="s">
        <v>201</v>
      </c>
      <c r="B121" t="s">
        <v>127</v>
      </c>
      <c r="C121" t="s">
        <v>669</v>
      </c>
      <c r="D121" s="24">
        <v>45625</v>
      </c>
      <c r="E121" s="25">
        <f t="shared" ca="1" si="1"/>
        <v>340</v>
      </c>
      <c r="F121" s="22">
        <v>1702</v>
      </c>
      <c r="G121" t="e" vm="6">
        <v>#VALUE!</v>
      </c>
      <c r="H121" cm="1" vm="7">
        <f t="array" aca="1" ref="H121" ca="1">_FV(G121,"Población")</f>
        <v>46234830</v>
      </c>
    </row>
    <row r="122" spans="1:8" x14ac:dyDescent="0.35">
      <c r="A122" t="s">
        <v>202</v>
      </c>
      <c r="B122" t="s">
        <v>361</v>
      </c>
      <c r="C122" t="s">
        <v>571</v>
      </c>
      <c r="D122" s="24">
        <v>45641</v>
      </c>
      <c r="E122" s="25">
        <f t="shared" ca="1" si="1"/>
        <v>324</v>
      </c>
      <c r="F122" s="22">
        <v>15953</v>
      </c>
      <c r="G122" t="e" vm="4">
        <v>#VALUE!</v>
      </c>
      <c r="H122" cm="1" vm="5">
        <f t="array" aca="1" ref="H122" ca="1">_FV(G122,"Población")</f>
        <v>1412175000</v>
      </c>
    </row>
    <row r="123" spans="1:8" x14ac:dyDescent="0.35">
      <c r="A123" t="s">
        <v>203</v>
      </c>
      <c r="B123" t="s">
        <v>305</v>
      </c>
      <c r="C123" t="s">
        <v>464</v>
      </c>
      <c r="D123" s="24">
        <v>45597</v>
      </c>
      <c r="E123" s="25">
        <f t="shared" ca="1" si="1"/>
        <v>368</v>
      </c>
      <c r="F123" s="22">
        <v>12799</v>
      </c>
      <c r="G123" t="e" vm="2">
        <v>#VALUE!</v>
      </c>
      <c r="H123" cm="1" vm="3">
        <f t="array" aca="1" ref="H123" ca="1">_FV(G123,"Población")</f>
        <v>215313498</v>
      </c>
    </row>
    <row r="124" spans="1:8" x14ac:dyDescent="0.35">
      <c r="A124" t="s">
        <v>204</v>
      </c>
      <c r="B124" t="s">
        <v>127</v>
      </c>
      <c r="C124" t="s">
        <v>670</v>
      </c>
      <c r="D124" s="24">
        <v>45678</v>
      </c>
      <c r="E124" s="25">
        <f t="shared" ca="1" si="1"/>
        <v>287</v>
      </c>
      <c r="F124" s="22">
        <v>5882</v>
      </c>
      <c r="G124" t="e" vm="6">
        <v>#VALUE!</v>
      </c>
      <c r="H124" cm="1" vm="7">
        <f t="array" aca="1" ref="H124" ca="1">_FV(G124,"Población")</f>
        <v>46234830</v>
      </c>
    </row>
    <row r="125" spans="1:8" x14ac:dyDescent="0.35">
      <c r="A125" t="s">
        <v>205</v>
      </c>
      <c r="B125" t="s">
        <v>127</v>
      </c>
      <c r="C125" t="s">
        <v>671</v>
      </c>
      <c r="D125" s="24">
        <v>45614</v>
      </c>
      <c r="E125" s="25">
        <f t="shared" ca="1" si="1"/>
        <v>351</v>
      </c>
      <c r="F125" s="22">
        <v>3489</v>
      </c>
      <c r="G125" t="e" vm="6">
        <v>#VALUE!</v>
      </c>
      <c r="H125" cm="1" vm="7">
        <f t="array" aca="1" ref="H125" ca="1">_FV(G125,"Población")</f>
        <v>46234830</v>
      </c>
    </row>
    <row r="126" spans="1:8" x14ac:dyDescent="0.35">
      <c r="A126" t="s">
        <v>206</v>
      </c>
      <c r="B126" t="s">
        <v>81</v>
      </c>
      <c r="C126" t="s">
        <v>672</v>
      </c>
      <c r="D126" s="24">
        <v>45641</v>
      </c>
      <c r="E126" s="25">
        <f t="shared" ca="1" si="1"/>
        <v>324</v>
      </c>
      <c r="F126" s="22">
        <v>1960</v>
      </c>
      <c r="G126" t="e" vm="6">
        <v>#VALUE!</v>
      </c>
      <c r="H126" cm="1" vm="7">
        <f t="array" aca="1" ref="H126" ca="1">_FV(G126,"Población")</f>
        <v>46234830</v>
      </c>
    </row>
    <row r="127" spans="1:8" x14ac:dyDescent="0.35">
      <c r="A127" t="s">
        <v>207</v>
      </c>
      <c r="B127" t="s">
        <v>127</v>
      </c>
      <c r="C127" t="s">
        <v>465</v>
      </c>
      <c r="D127" s="24">
        <v>45682</v>
      </c>
      <c r="E127" s="25">
        <f t="shared" ca="1" si="1"/>
        <v>283</v>
      </c>
      <c r="F127" s="22">
        <v>16978</v>
      </c>
      <c r="G127" t="e" vm="2">
        <v>#VALUE!</v>
      </c>
      <c r="H127" cm="1" vm="3">
        <f t="array" aca="1" ref="H127" ca="1">_FV(G127,"Población")</f>
        <v>215313498</v>
      </c>
    </row>
    <row r="128" spans="1:8" x14ac:dyDescent="0.35">
      <c r="A128" t="s">
        <v>208</v>
      </c>
      <c r="B128" t="s">
        <v>361</v>
      </c>
      <c r="C128" t="s">
        <v>673</v>
      </c>
      <c r="D128" s="24">
        <v>45685</v>
      </c>
      <c r="E128" s="25">
        <f t="shared" ca="1" si="1"/>
        <v>280</v>
      </c>
      <c r="F128" s="22">
        <v>15840</v>
      </c>
      <c r="G128" t="e" vm="6">
        <v>#VALUE!</v>
      </c>
      <c r="H128" cm="1" vm="7">
        <f t="array" aca="1" ref="H128" ca="1">_FV(G128,"Población")</f>
        <v>46234830</v>
      </c>
    </row>
    <row r="129" spans="1:8" x14ac:dyDescent="0.35">
      <c r="A129" t="s">
        <v>209</v>
      </c>
      <c r="B129" t="s">
        <v>81</v>
      </c>
      <c r="C129" t="s">
        <v>674</v>
      </c>
      <c r="D129" s="24">
        <v>45601</v>
      </c>
      <c r="E129" s="25">
        <f t="shared" ca="1" si="1"/>
        <v>364</v>
      </c>
      <c r="F129" s="22">
        <v>11007</v>
      </c>
      <c r="G129" t="e" vm="6">
        <v>#VALUE!</v>
      </c>
      <c r="H129" cm="1" vm="7">
        <f t="array" aca="1" ref="H129" ca="1">_FV(G129,"Población")</f>
        <v>46234830</v>
      </c>
    </row>
    <row r="130" spans="1:8" x14ac:dyDescent="0.35">
      <c r="A130" t="s">
        <v>210</v>
      </c>
      <c r="B130" t="s">
        <v>81</v>
      </c>
      <c r="C130" t="s">
        <v>675</v>
      </c>
      <c r="D130" s="24">
        <v>45631</v>
      </c>
      <c r="E130" s="25">
        <f t="shared" ca="1" si="1"/>
        <v>334</v>
      </c>
      <c r="F130" s="22">
        <v>2762</v>
      </c>
      <c r="G130" t="e" vm="6">
        <v>#VALUE!</v>
      </c>
      <c r="H130" cm="1" vm="7">
        <f t="array" aca="1" ref="H130" ca="1">_FV(G130,"Población")</f>
        <v>46234830</v>
      </c>
    </row>
    <row r="131" spans="1:8" x14ac:dyDescent="0.35">
      <c r="A131" t="s">
        <v>211</v>
      </c>
      <c r="B131" t="s">
        <v>110</v>
      </c>
      <c r="C131" t="s">
        <v>676</v>
      </c>
      <c r="D131" s="24">
        <v>45683</v>
      </c>
      <c r="E131" s="25">
        <f t="shared" ref="E131:E194" ca="1" si="2">TODAY()-D131</f>
        <v>282</v>
      </c>
      <c r="F131" s="22">
        <v>6494</v>
      </c>
      <c r="G131" t="e" vm="6">
        <v>#VALUE!</v>
      </c>
      <c r="H131" cm="1" vm="7">
        <f t="array" aca="1" ref="H131" ca="1">_FV(G131,"Población")</f>
        <v>46234830</v>
      </c>
    </row>
    <row r="132" spans="1:8" x14ac:dyDescent="0.35">
      <c r="A132" t="s">
        <v>212</v>
      </c>
      <c r="B132" t="s">
        <v>110</v>
      </c>
      <c r="C132" t="s">
        <v>572</v>
      </c>
      <c r="D132" s="24">
        <v>45605</v>
      </c>
      <c r="E132" s="25">
        <f t="shared" ca="1" si="2"/>
        <v>360</v>
      </c>
      <c r="F132" s="22">
        <v>14042</v>
      </c>
      <c r="G132" t="e" vm="4">
        <v>#VALUE!</v>
      </c>
      <c r="H132" cm="1" vm="5">
        <f t="array" aca="1" ref="H132" ca="1">_FV(G132,"Población")</f>
        <v>1412175000</v>
      </c>
    </row>
    <row r="133" spans="1:8" x14ac:dyDescent="0.35">
      <c r="A133" t="s">
        <v>213</v>
      </c>
      <c r="B133" t="s">
        <v>361</v>
      </c>
      <c r="C133" t="s">
        <v>573</v>
      </c>
      <c r="D133" s="24">
        <v>45614</v>
      </c>
      <c r="E133" s="25">
        <f t="shared" ca="1" si="2"/>
        <v>351</v>
      </c>
      <c r="F133" s="22">
        <v>18066</v>
      </c>
      <c r="G133" t="e" vm="4">
        <v>#VALUE!</v>
      </c>
      <c r="H133" cm="1" vm="5">
        <f t="array" aca="1" ref="H133" ca="1">_FV(G133,"Población")</f>
        <v>1412175000</v>
      </c>
    </row>
    <row r="134" spans="1:8" x14ac:dyDescent="0.35">
      <c r="A134" t="s">
        <v>214</v>
      </c>
      <c r="B134" t="s">
        <v>127</v>
      </c>
      <c r="C134" t="s">
        <v>677</v>
      </c>
      <c r="D134" s="24">
        <v>45615</v>
      </c>
      <c r="E134" s="25">
        <f t="shared" ca="1" si="2"/>
        <v>350</v>
      </c>
      <c r="F134" s="22">
        <v>18119</v>
      </c>
      <c r="G134" t="e" vm="6">
        <v>#VALUE!</v>
      </c>
      <c r="H134" cm="1" vm="7">
        <f t="array" aca="1" ref="H134" ca="1">_FV(G134,"Población")</f>
        <v>46234830</v>
      </c>
    </row>
    <row r="135" spans="1:8" x14ac:dyDescent="0.35">
      <c r="A135" t="s">
        <v>215</v>
      </c>
      <c r="B135" t="s">
        <v>361</v>
      </c>
      <c r="C135" t="s">
        <v>466</v>
      </c>
      <c r="D135" s="24">
        <v>45633</v>
      </c>
      <c r="E135" s="25">
        <f t="shared" ca="1" si="2"/>
        <v>332</v>
      </c>
      <c r="F135" s="22">
        <v>16003</v>
      </c>
      <c r="G135" t="e" vm="2">
        <v>#VALUE!</v>
      </c>
      <c r="H135" cm="1" vm="3">
        <f t="array" aca="1" ref="H135" ca="1">_FV(G135,"Población")</f>
        <v>215313498</v>
      </c>
    </row>
    <row r="136" spans="1:8" x14ac:dyDescent="0.35">
      <c r="A136" t="s">
        <v>216</v>
      </c>
      <c r="B136" t="s">
        <v>350</v>
      </c>
      <c r="C136" t="s">
        <v>467</v>
      </c>
      <c r="D136" s="24">
        <v>45622</v>
      </c>
      <c r="E136" s="25">
        <f t="shared" ca="1" si="2"/>
        <v>343</v>
      </c>
      <c r="F136" s="22">
        <v>17271</v>
      </c>
      <c r="G136" t="e" vm="2">
        <v>#VALUE!</v>
      </c>
      <c r="H136" cm="1" vm="3">
        <f t="array" aca="1" ref="H136" ca="1">_FV(G136,"Población")</f>
        <v>215313498</v>
      </c>
    </row>
    <row r="137" spans="1:8" x14ac:dyDescent="0.35">
      <c r="A137" t="s">
        <v>217</v>
      </c>
      <c r="B137" t="s">
        <v>305</v>
      </c>
      <c r="C137" t="s">
        <v>574</v>
      </c>
      <c r="D137" s="24">
        <v>45671</v>
      </c>
      <c r="E137" s="25">
        <f t="shared" ca="1" si="2"/>
        <v>294</v>
      </c>
      <c r="F137" s="22">
        <v>15404</v>
      </c>
      <c r="G137" t="e" vm="4">
        <v>#VALUE!</v>
      </c>
      <c r="H137" cm="1" vm="5">
        <f t="array" aca="1" ref="H137" ca="1">_FV(G137,"Población")</f>
        <v>1412175000</v>
      </c>
    </row>
    <row r="138" spans="1:8" x14ac:dyDescent="0.35">
      <c r="A138" t="s">
        <v>218</v>
      </c>
      <c r="B138" t="s">
        <v>81</v>
      </c>
      <c r="C138" t="s">
        <v>575</v>
      </c>
      <c r="D138" s="24">
        <v>45643</v>
      </c>
      <c r="E138" s="25">
        <f t="shared" ca="1" si="2"/>
        <v>322</v>
      </c>
      <c r="F138" s="22">
        <v>9199</v>
      </c>
      <c r="G138" t="e" vm="4">
        <v>#VALUE!</v>
      </c>
      <c r="H138" cm="1" vm="5">
        <f t="array" aca="1" ref="H138" ca="1">_FV(G138,"Población")</f>
        <v>1412175000</v>
      </c>
    </row>
    <row r="139" spans="1:8" x14ac:dyDescent="0.35">
      <c r="A139" t="s">
        <v>219</v>
      </c>
      <c r="B139" t="s">
        <v>350</v>
      </c>
      <c r="C139" t="s">
        <v>468</v>
      </c>
      <c r="D139" s="24">
        <v>45650</v>
      </c>
      <c r="E139" s="25">
        <f t="shared" ca="1" si="2"/>
        <v>315</v>
      </c>
      <c r="F139" s="22">
        <v>9376</v>
      </c>
      <c r="G139" t="e" vm="2">
        <v>#VALUE!</v>
      </c>
      <c r="H139" cm="1" vm="3">
        <f t="array" aca="1" ref="H139" ca="1">_FV(G139,"Población")</f>
        <v>215313498</v>
      </c>
    </row>
    <row r="140" spans="1:8" x14ac:dyDescent="0.35">
      <c r="A140" t="s">
        <v>220</v>
      </c>
      <c r="B140" t="s">
        <v>81</v>
      </c>
      <c r="C140" t="s">
        <v>469</v>
      </c>
      <c r="D140" s="24">
        <v>45664</v>
      </c>
      <c r="E140" s="25">
        <f t="shared" ca="1" si="2"/>
        <v>301</v>
      </c>
      <c r="F140" s="22">
        <v>2011</v>
      </c>
      <c r="G140" t="e" vm="2">
        <v>#VALUE!</v>
      </c>
      <c r="H140" cm="1" vm="3">
        <f t="array" aca="1" ref="H140" ca="1">_FV(G140,"Población")</f>
        <v>215313498</v>
      </c>
    </row>
    <row r="141" spans="1:8" x14ac:dyDescent="0.35">
      <c r="A141" t="s">
        <v>221</v>
      </c>
      <c r="B141" t="s">
        <v>127</v>
      </c>
      <c r="C141" t="s">
        <v>576</v>
      </c>
      <c r="D141" s="24">
        <v>45668</v>
      </c>
      <c r="E141" s="25">
        <f t="shared" ca="1" si="2"/>
        <v>297</v>
      </c>
      <c r="F141" s="22">
        <v>6430</v>
      </c>
      <c r="G141" t="e" vm="4">
        <v>#VALUE!</v>
      </c>
      <c r="H141" cm="1" vm="5">
        <f t="array" aca="1" ref="H141" ca="1">_FV(G141,"Población")</f>
        <v>1412175000</v>
      </c>
    </row>
    <row r="142" spans="1:8" x14ac:dyDescent="0.35">
      <c r="A142" t="s">
        <v>222</v>
      </c>
      <c r="B142" t="s">
        <v>350</v>
      </c>
      <c r="C142" t="s">
        <v>470</v>
      </c>
      <c r="D142" s="24">
        <v>45628</v>
      </c>
      <c r="E142" s="25">
        <f t="shared" ca="1" si="2"/>
        <v>337</v>
      </c>
      <c r="F142" s="22">
        <v>9668</v>
      </c>
      <c r="G142" t="e" vm="2">
        <v>#VALUE!</v>
      </c>
      <c r="H142" cm="1" vm="3">
        <f t="array" aca="1" ref="H142" ca="1">_FV(G142,"Población")</f>
        <v>215313498</v>
      </c>
    </row>
    <row r="143" spans="1:8" x14ac:dyDescent="0.35">
      <c r="A143" t="s">
        <v>223</v>
      </c>
      <c r="B143" t="s">
        <v>425</v>
      </c>
      <c r="C143" t="s">
        <v>471</v>
      </c>
      <c r="D143" s="24">
        <v>45665</v>
      </c>
      <c r="E143" s="25">
        <f t="shared" ca="1" si="2"/>
        <v>300</v>
      </c>
      <c r="F143" s="22">
        <v>19784</v>
      </c>
      <c r="G143" t="e" vm="2">
        <v>#VALUE!</v>
      </c>
      <c r="H143" cm="1" vm="3">
        <f t="array" aca="1" ref="H143" ca="1">_FV(G143,"Población")</f>
        <v>215313498</v>
      </c>
    </row>
    <row r="144" spans="1:8" x14ac:dyDescent="0.35">
      <c r="A144" t="s">
        <v>224</v>
      </c>
      <c r="B144" t="s">
        <v>305</v>
      </c>
      <c r="C144" t="s">
        <v>472</v>
      </c>
      <c r="D144" s="24">
        <v>45654</v>
      </c>
      <c r="E144" s="25">
        <f t="shared" ca="1" si="2"/>
        <v>311</v>
      </c>
      <c r="F144" s="22">
        <v>12702</v>
      </c>
      <c r="G144" t="e" vm="2">
        <v>#VALUE!</v>
      </c>
      <c r="H144" cm="1" vm="3">
        <f t="array" aca="1" ref="H144" ca="1">_FV(G144,"Población")</f>
        <v>215313498</v>
      </c>
    </row>
    <row r="145" spans="1:8" x14ac:dyDescent="0.35">
      <c r="A145" t="s">
        <v>225</v>
      </c>
      <c r="B145" t="s">
        <v>425</v>
      </c>
      <c r="C145" t="s">
        <v>678</v>
      </c>
      <c r="D145" s="24">
        <v>45628</v>
      </c>
      <c r="E145" s="25">
        <f t="shared" ca="1" si="2"/>
        <v>337</v>
      </c>
      <c r="F145" s="22">
        <v>18181</v>
      </c>
      <c r="G145" t="e" vm="6">
        <v>#VALUE!</v>
      </c>
      <c r="H145" cm="1" vm="7">
        <f t="array" aca="1" ref="H145" ca="1">_FV(G145,"Población")</f>
        <v>46234830</v>
      </c>
    </row>
    <row r="146" spans="1:8" x14ac:dyDescent="0.35">
      <c r="A146" t="s">
        <v>226</v>
      </c>
      <c r="B146" t="s">
        <v>305</v>
      </c>
      <c r="C146" t="s">
        <v>577</v>
      </c>
      <c r="D146" s="24">
        <v>45651</v>
      </c>
      <c r="E146" s="25">
        <f t="shared" ca="1" si="2"/>
        <v>314</v>
      </c>
      <c r="F146" s="22">
        <v>6358</v>
      </c>
      <c r="G146" t="e" vm="4">
        <v>#VALUE!</v>
      </c>
      <c r="H146" cm="1" vm="5">
        <f t="array" aca="1" ref="H146" ca="1">_FV(G146,"Población")</f>
        <v>1412175000</v>
      </c>
    </row>
    <row r="147" spans="1:8" x14ac:dyDescent="0.35">
      <c r="A147" t="s">
        <v>227</v>
      </c>
      <c r="B147" t="s">
        <v>305</v>
      </c>
      <c r="C147" t="s">
        <v>578</v>
      </c>
      <c r="D147" s="24">
        <v>45625</v>
      </c>
      <c r="E147" s="25">
        <f t="shared" ca="1" si="2"/>
        <v>340</v>
      </c>
      <c r="F147" s="22">
        <v>1435</v>
      </c>
      <c r="G147" t="e" vm="4">
        <v>#VALUE!</v>
      </c>
      <c r="H147" cm="1" vm="5">
        <f t="array" aca="1" ref="H147" ca="1">_FV(G147,"Población")</f>
        <v>1412175000</v>
      </c>
    </row>
    <row r="148" spans="1:8" x14ac:dyDescent="0.35">
      <c r="A148" t="s">
        <v>228</v>
      </c>
      <c r="B148" t="s">
        <v>350</v>
      </c>
      <c r="C148" t="s">
        <v>679</v>
      </c>
      <c r="D148" s="24">
        <v>45688</v>
      </c>
      <c r="E148" s="25">
        <f t="shared" ca="1" si="2"/>
        <v>277</v>
      </c>
      <c r="F148" s="22">
        <v>18049</v>
      </c>
      <c r="G148" t="e" vm="6">
        <v>#VALUE!</v>
      </c>
      <c r="H148" cm="1" vm="7">
        <f t="array" aca="1" ref="H148" ca="1">_FV(G148,"Población")</f>
        <v>46234830</v>
      </c>
    </row>
    <row r="149" spans="1:8" x14ac:dyDescent="0.35">
      <c r="A149" t="s">
        <v>229</v>
      </c>
      <c r="B149" t="s">
        <v>81</v>
      </c>
      <c r="C149" t="s">
        <v>473</v>
      </c>
      <c r="D149" s="24">
        <v>45677</v>
      </c>
      <c r="E149" s="25">
        <f t="shared" ca="1" si="2"/>
        <v>288</v>
      </c>
      <c r="F149" s="22">
        <v>4655</v>
      </c>
      <c r="G149" t="e" vm="2">
        <v>#VALUE!</v>
      </c>
      <c r="H149" cm="1" vm="3">
        <f t="array" aca="1" ref="H149" ca="1">_FV(G149,"Población")</f>
        <v>215313498</v>
      </c>
    </row>
    <row r="150" spans="1:8" x14ac:dyDescent="0.35">
      <c r="A150" t="s">
        <v>230</v>
      </c>
      <c r="B150" t="s">
        <v>110</v>
      </c>
      <c r="C150" t="s">
        <v>474</v>
      </c>
      <c r="D150" s="24">
        <v>45613</v>
      </c>
      <c r="E150" s="25">
        <f t="shared" ca="1" si="2"/>
        <v>352</v>
      </c>
      <c r="F150" s="22">
        <v>7602</v>
      </c>
      <c r="G150" t="e" vm="2">
        <v>#VALUE!</v>
      </c>
      <c r="H150" cm="1" vm="3">
        <f t="array" aca="1" ref="H150" ca="1">_FV(G150,"Población")</f>
        <v>215313498</v>
      </c>
    </row>
    <row r="151" spans="1:8" x14ac:dyDescent="0.35">
      <c r="A151" t="s">
        <v>231</v>
      </c>
      <c r="B151" t="s">
        <v>127</v>
      </c>
      <c r="C151" t="s">
        <v>680</v>
      </c>
      <c r="D151" s="24">
        <v>45650</v>
      </c>
      <c r="E151" s="25">
        <f t="shared" ca="1" si="2"/>
        <v>315</v>
      </c>
      <c r="F151" s="22">
        <v>9954</v>
      </c>
      <c r="G151" t="e" vm="6">
        <v>#VALUE!</v>
      </c>
      <c r="H151" cm="1" vm="7">
        <f t="array" aca="1" ref="H151" ca="1">_FV(G151,"Población")</f>
        <v>46234830</v>
      </c>
    </row>
    <row r="152" spans="1:8" x14ac:dyDescent="0.35">
      <c r="A152" t="s">
        <v>232</v>
      </c>
      <c r="B152" t="s">
        <v>110</v>
      </c>
      <c r="C152" t="s">
        <v>475</v>
      </c>
      <c r="D152" s="24">
        <v>45646</v>
      </c>
      <c r="E152" s="25">
        <f t="shared" ca="1" si="2"/>
        <v>319</v>
      </c>
      <c r="F152" s="22">
        <v>10603</v>
      </c>
      <c r="G152" t="e" vm="2">
        <v>#VALUE!</v>
      </c>
      <c r="H152" cm="1" vm="3">
        <f t="array" aca="1" ref="H152" ca="1">_FV(G152,"Población")</f>
        <v>215313498</v>
      </c>
    </row>
    <row r="153" spans="1:8" x14ac:dyDescent="0.35">
      <c r="A153" t="s">
        <v>233</v>
      </c>
      <c r="B153" t="s">
        <v>81</v>
      </c>
      <c r="C153" t="s">
        <v>681</v>
      </c>
      <c r="D153" s="24">
        <v>45642</v>
      </c>
      <c r="E153" s="25">
        <f t="shared" ca="1" si="2"/>
        <v>323</v>
      </c>
      <c r="F153" s="22">
        <v>19285</v>
      </c>
      <c r="G153" t="e" vm="6">
        <v>#VALUE!</v>
      </c>
      <c r="H153" cm="1" vm="7">
        <f t="array" aca="1" ref="H153" ca="1">_FV(G153,"Población")</f>
        <v>46234830</v>
      </c>
    </row>
    <row r="154" spans="1:8" x14ac:dyDescent="0.35">
      <c r="A154" t="s">
        <v>234</v>
      </c>
      <c r="B154" t="s">
        <v>81</v>
      </c>
      <c r="C154" t="s">
        <v>682</v>
      </c>
      <c r="D154" s="24">
        <v>45641</v>
      </c>
      <c r="E154" s="25">
        <f t="shared" ca="1" si="2"/>
        <v>324</v>
      </c>
      <c r="F154" s="22">
        <v>14076</v>
      </c>
      <c r="G154" t="e" vm="6">
        <v>#VALUE!</v>
      </c>
      <c r="H154" cm="1" vm="7">
        <f t="array" aca="1" ref="H154" ca="1">_FV(G154,"Población")</f>
        <v>46234830</v>
      </c>
    </row>
    <row r="155" spans="1:8" x14ac:dyDescent="0.35">
      <c r="A155" t="s">
        <v>235</v>
      </c>
      <c r="B155" t="s">
        <v>425</v>
      </c>
      <c r="C155" t="s">
        <v>683</v>
      </c>
      <c r="D155" s="24">
        <v>45673</v>
      </c>
      <c r="E155" s="25">
        <f t="shared" ca="1" si="2"/>
        <v>292</v>
      </c>
      <c r="F155" s="22">
        <v>17706</v>
      </c>
      <c r="G155" t="e" vm="6">
        <v>#VALUE!</v>
      </c>
      <c r="H155" cm="1" vm="7">
        <f t="array" aca="1" ref="H155" ca="1">_FV(G155,"Población")</f>
        <v>46234830</v>
      </c>
    </row>
    <row r="156" spans="1:8" x14ac:dyDescent="0.35">
      <c r="A156" t="s">
        <v>236</v>
      </c>
      <c r="B156" t="s">
        <v>350</v>
      </c>
      <c r="C156" t="s">
        <v>579</v>
      </c>
      <c r="D156" s="24">
        <v>45675</v>
      </c>
      <c r="E156" s="25">
        <f t="shared" ca="1" si="2"/>
        <v>290</v>
      </c>
      <c r="F156" s="22">
        <v>11536</v>
      </c>
      <c r="G156" t="e" vm="4">
        <v>#VALUE!</v>
      </c>
      <c r="H156" cm="1" vm="5">
        <f t="array" aca="1" ref="H156" ca="1">_FV(G156,"Población")</f>
        <v>1412175000</v>
      </c>
    </row>
    <row r="157" spans="1:8" x14ac:dyDescent="0.35">
      <c r="A157" t="s">
        <v>237</v>
      </c>
      <c r="B157" t="s">
        <v>305</v>
      </c>
      <c r="C157" t="s">
        <v>580</v>
      </c>
      <c r="D157" s="24">
        <v>45665</v>
      </c>
      <c r="E157" s="25">
        <f t="shared" ca="1" si="2"/>
        <v>300</v>
      </c>
      <c r="F157" s="22">
        <v>19065</v>
      </c>
      <c r="G157" t="e" vm="4">
        <v>#VALUE!</v>
      </c>
      <c r="H157" cm="1" vm="5">
        <f t="array" aca="1" ref="H157" ca="1">_FV(G157,"Población")</f>
        <v>1412175000</v>
      </c>
    </row>
    <row r="158" spans="1:8" x14ac:dyDescent="0.35">
      <c r="A158" t="s">
        <v>238</v>
      </c>
      <c r="B158" t="s">
        <v>425</v>
      </c>
      <c r="C158" t="s">
        <v>684</v>
      </c>
      <c r="D158" s="24">
        <v>45615</v>
      </c>
      <c r="E158" s="25">
        <f t="shared" ca="1" si="2"/>
        <v>350</v>
      </c>
      <c r="F158" s="22">
        <v>5380</v>
      </c>
      <c r="G158" t="e" vm="6">
        <v>#VALUE!</v>
      </c>
      <c r="H158" cm="1" vm="7">
        <f t="array" aca="1" ref="H158" ca="1">_FV(G158,"Población")</f>
        <v>46234830</v>
      </c>
    </row>
    <row r="159" spans="1:8" x14ac:dyDescent="0.35">
      <c r="A159" t="s">
        <v>239</v>
      </c>
      <c r="B159" t="s">
        <v>127</v>
      </c>
      <c r="C159" t="s">
        <v>685</v>
      </c>
      <c r="D159" s="24">
        <v>45641</v>
      </c>
      <c r="E159" s="25">
        <f t="shared" ca="1" si="2"/>
        <v>324</v>
      </c>
      <c r="F159" s="22">
        <v>17258</v>
      </c>
      <c r="G159" t="e" vm="6">
        <v>#VALUE!</v>
      </c>
      <c r="H159" cm="1" vm="7">
        <f t="array" aca="1" ref="H159" ca="1">_FV(G159,"Población")</f>
        <v>46234830</v>
      </c>
    </row>
    <row r="160" spans="1:8" x14ac:dyDescent="0.35">
      <c r="A160" t="s">
        <v>240</v>
      </c>
      <c r="B160" t="s">
        <v>81</v>
      </c>
      <c r="C160" t="s">
        <v>581</v>
      </c>
      <c r="D160" s="24">
        <v>45612</v>
      </c>
      <c r="E160" s="25">
        <f t="shared" ca="1" si="2"/>
        <v>353</v>
      </c>
      <c r="F160" s="22">
        <v>14970</v>
      </c>
      <c r="G160" t="e" vm="4">
        <v>#VALUE!</v>
      </c>
      <c r="H160" cm="1" vm="5">
        <f t="array" aca="1" ref="H160" ca="1">_FV(G160,"Población")</f>
        <v>1412175000</v>
      </c>
    </row>
    <row r="161" spans="1:8" x14ac:dyDescent="0.35">
      <c r="A161" t="s">
        <v>241</v>
      </c>
      <c r="B161" t="s">
        <v>110</v>
      </c>
      <c r="C161" t="s">
        <v>686</v>
      </c>
      <c r="D161" s="24">
        <v>45626</v>
      </c>
      <c r="E161" s="25">
        <f t="shared" ca="1" si="2"/>
        <v>339</v>
      </c>
      <c r="F161" s="22">
        <v>8651</v>
      </c>
      <c r="G161" t="e" vm="6">
        <v>#VALUE!</v>
      </c>
      <c r="H161" cm="1" vm="7">
        <f t="array" aca="1" ref="H161" ca="1">_FV(G161,"Población")</f>
        <v>46234830</v>
      </c>
    </row>
    <row r="162" spans="1:8" x14ac:dyDescent="0.35">
      <c r="A162" t="s">
        <v>242</v>
      </c>
      <c r="B162" t="s">
        <v>350</v>
      </c>
      <c r="C162" t="s">
        <v>687</v>
      </c>
      <c r="D162" s="24">
        <v>45628</v>
      </c>
      <c r="E162" s="25">
        <f t="shared" ca="1" si="2"/>
        <v>337</v>
      </c>
      <c r="F162" s="22">
        <v>6563</v>
      </c>
      <c r="G162" t="e" vm="6">
        <v>#VALUE!</v>
      </c>
      <c r="H162" cm="1" vm="7">
        <f t="array" aca="1" ref="H162" ca="1">_FV(G162,"Población")</f>
        <v>46234830</v>
      </c>
    </row>
    <row r="163" spans="1:8" x14ac:dyDescent="0.35">
      <c r="A163" t="s">
        <v>243</v>
      </c>
      <c r="B163" t="s">
        <v>350</v>
      </c>
      <c r="C163" t="s">
        <v>688</v>
      </c>
      <c r="D163" s="24">
        <v>45651</v>
      </c>
      <c r="E163" s="25">
        <f t="shared" ca="1" si="2"/>
        <v>314</v>
      </c>
      <c r="F163" s="22">
        <v>16901</v>
      </c>
      <c r="G163" t="e" vm="6">
        <v>#VALUE!</v>
      </c>
      <c r="H163" cm="1" vm="7">
        <f t="array" aca="1" ref="H163" ca="1">_FV(G163,"Población")</f>
        <v>46234830</v>
      </c>
    </row>
    <row r="164" spans="1:8" x14ac:dyDescent="0.35">
      <c r="A164" t="s">
        <v>244</v>
      </c>
      <c r="B164" t="s">
        <v>361</v>
      </c>
      <c r="C164" t="s">
        <v>689</v>
      </c>
      <c r="D164" s="24">
        <v>45625</v>
      </c>
      <c r="E164" s="25">
        <f t="shared" ca="1" si="2"/>
        <v>340</v>
      </c>
      <c r="F164" s="22">
        <v>6140</v>
      </c>
      <c r="G164" t="e" vm="6">
        <v>#VALUE!</v>
      </c>
      <c r="H164" cm="1" vm="7">
        <f t="array" aca="1" ref="H164" ca="1">_FV(G164,"Población")</f>
        <v>46234830</v>
      </c>
    </row>
    <row r="165" spans="1:8" x14ac:dyDescent="0.35">
      <c r="A165" t="s">
        <v>245</v>
      </c>
      <c r="B165" t="s">
        <v>81</v>
      </c>
      <c r="C165" t="s">
        <v>476</v>
      </c>
      <c r="D165" s="24">
        <v>45682</v>
      </c>
      <c r="E165" s="25">
        <f t="shared" ca="1" si="2"/>
        <v>283</v>
      </c>
      <c r="F165" s="22">
        <v>1669</v>
      </c>
      <c r="G165" t="e" vm="2">
        <v>#VALUE!</v>
      </c>
      <c r="H165" cm="1" vm="3">
        <f t="array" aca="1" ref="H165" ca="1">_FV(G165,"Población")</f>
        <v>215313498</v>
      </c>
    </row>
    <row r="166" spans="1:8" x14ac:dyDescent="0.35">
      <c r="A166" t="s">
        <v>246</v>
      </c>
      <c r="B166" t="s">
        <v>350</v>
      </c>
      <c r="C166" t="s">
        <v>582</v>
      </c>
      <c r="D166" s="24">
        <v>45640</v>
      </c>
      <c r="E166" s="25">
        <f t="shared" ca="1" si="2"/>
        <v>325</v>
      </c>
      <c r="F166" s="22">
        <v>11694</v>
      </c>
      <c r="G166" t="e" vm="4">
        <v>#VALUE!</v>
      </c>
      <c r="H166" cm="1" vm="5">
        <f t="array" aca="1" ref="H166" ca="1">_FV(G166,"Población")</f>
        <v>1412175000</v>
      </c>
    </row>
    <row r="167" spans="1:8" x14ac:dyDescent="0.35">
      <c r="A167" t="s">
        <v>247</v>
      </c>
      <c r="B167" t="s">
        <v>81</v>
      </c>
      <c r="C167" t="s">
        <v>690</v>
      </c>
      <c r="D167" s="24">
        <v>45675</v>
      </c>
      <c r="E167" s="25">
        <f t="shared" ca="1" si="2"/>
        <v>290</v>
      </c>
      <c r="F167" s="22">
        <v>5857</v>
      </c>
      <c r="G167" t="e" vm="6">
        <v>#VALUE!</v>
      </c>
      <c r="H167" cm="1" vm="7">
        <f t="array" aca="1" ref="H167" ca="1">_FV(G167,"Población")</f>
        <v>46234830</v>
      </c>
    </row>
    <row r="168" spans="1:8" x14ac:dyDescent="0.35">
      <c r="A168" t="s">
        <v>248</v>
      </c>
      <c r="B168" t="s">
        <v>361</v>
      </c>
      <c r="C168" t="s">
        <v>477</v>
      </c>
      <c r="D168" s="24">
        <v>45622</v>
      </c>
      <c r="E168" s="25">
        <f t="shared" ca="1" si="2"/>
        <v>343</v>
      </c>
      <c r="F168" s="22">
        <v>10819</v>
      </c>
      <c r="G168" t="e" vm="2">
        <v>#VALUE!</v>
      </c>
      <c r="H168" cm="1" vm="3">
        <f t="array" aca="1" ref="H168" ca="1">_FV(G168,"Población")</f>
        <v>215313498</v>
      </c>
    </row>
    <row r="169" spans="1:8" x14ac:dyDescent="0.35">
      <c r="A169" t="s">
        <v>249</v>
      </c>
      <c r="B169" t="s">
        <v>361</v>
      </c>
      <c r="C169" t="s">
        <v>583</v>
      </c>
      <c r="D169" s="24">
        <v>45665</v>
      </c>
      <c r="E169" s="25">
        <f t="shared" ca="1" si="2"/>
        <v>300</v>
      </c>
      <c r="F169" s="22">
        <v>4208</v>
      </c>
      <c r="G169" t="e" vm="4">
        <v>#VALUE!</v>
      </c>
      <c r="H169" cm="1" vm="5">
        <f t="array" aca="1" ref="H169" ca="1">_FV(G169,"Población")</f>
        <v>1412175000</v>
      </c>
    </row>
    <row r="170" spans="1:8" x14ac:dyDescent="0.35">
      <c r="A170" t="s">
        <v>250</v>
      </c>
      <c r="B170" t="s">
        <v>425</v>
      </c>
      <c r="C170" t="s">
        <v>691</v>
      </c>
      <c r="D170" s="24">
        <v>45681</v>
      </c>
      <c r="E170" s="25">
        <f t="shared" ca="1" si="2"/>
        <v>284</v>
      </c>
      <c r="F170" s="22">
        <v>12242</v>
      </c>
      <c r="G170" t="e" vm="6">
        <v>#VALUE!</v>
      </c>
      <c r="H170" cm="1" vm="7">
        <f t="array" aca="1" ref="H170" ca="1">_FV(G170,"Población")</f>
        <v>46234830</v>
      </c>
    </row>
    <row r="171" spans="1:8" x14ac:dyDescent="0.35">
      <c r="A171" t="s">
        <v>251</v>
      </c>
      <c r="B171" t="s">
        <v>350</v>
      </c>
      <c r="C171" t="s">
        <v>692</v>
      </c>
      <c r="D171" s="24">
        <v>45662</v>
      </c>
      <c r="E171" s="25">
        <f t="shared" ca="1" si="2"/>
        <v>303</v>
      </c>
      <c r="F171" s="22">
        <v>13345</v>
      </c>
      <c r="G171" t="e" vm="6">
        <v>#VALUE!</v>
      </c>
      <c r="H171" cm="1" vm="7">
        <f t="array" aca="1" ref="H171" ca="1">_FV(G171,"Población")</f>
        <v>46234830</v>
      </c>
    </row>
    <row r="172" spans="1:8" x14ac:dyDescent="0.35">
      <c r="A172" t="s">
        <v>252</v>
      </c>
      <c r="B172" t="s">
        <v>350</v>
      </c>
      <c r="C172" t="s">
        <v>478</v>
      </c>
      <c r="D172" s="24">
        <v>45623</v>
      </c>
      <c r="E172" s="25">
        <f t="shared" ca="1" si="2"/>
        <v>342</v>
      </c>
      <c r="F172" s="22">
        <v>4947</v>
      </c>
      <c r="G172" t="e" vm="2">
        <v>#VALUE!</v>
      </c>
      <c r="H172" cm="1" vm="3">
        <f t="array" aca="1" ref="H172" ca="1">_FV(G172,"Población")</f>
        <v>215313498</v>
      </c>
    </row>
    <row r="173" spans="1:8" x14ac:dyDescent="0.35">
      <c r="A173" t="s">
        <v>253</v>
      </c>
      <c r="B173" t="s">
        <v>425</v>
      </c>
      <c r="C173" t="s">
        <v>693</v>
      </c>
      <c r="D173" s="24">
        <v>45608</v>
      </c>
      <c r="E173" s="25">
        <f t="shared" ca="1" si="2"/>
        <v>357</v>
      </c>
      <c r="F173" s="22">
        <v>3513</v>
      </c>
      <c r="G173" t="e" vm="6">
        <v>#VALUE!</v>
      </c>
      <c r="H173" cm="1" vm="7">
        <f t="array" aca="1" ref="H173" ca="1">_FV(G173,"Población")</f>
        <v>46234830</v>
      </c>
    </row>
    <row r="174" spans="1:8" x14ac:dyDescent="0.35">
      <c r="A174" t="s">
        <v>254</v>
      </c>
      <c r="B174" t="s">
        <v>127</v>
      </c>
      <c r="C174" t="s">
        <v>479</v>
      </c>
      <c r="D174" s="24">
        <v>45659</v>
      </c>
      <c r="E174" s="25">
        <f t="shared" ca="1" si="2"/>
        <v>306</v>
      </c>
      <c r="F174" s="22">
        <v>9465</v>
      </c>
      <c r="G174" t="e" vm="2">
        <v>#VALUE!</v>
      </c>
      <c r="H174" cm="1" vm="3">
        <f t="array" aca="1" ref="H174" ca="1">_FV(G174,"Población")</f>
        <v>215313498</v>
      </c>
    </row>
    <row r="175" spans="1:8" x14ac:dyDescent="0.35">
      <c r="A175" t="s">
        <v>255</v>
      </c>
      <c r="B175" t="s">
        <v>305</v>
      </c>
      <c r="C175" t="s">
        <v>480</v>
      </c>
      <c r="D175" s="24">
        <v>45681</v>
      </c>
      <c r="E175" s="25">
        <f t="shared" ca="1" si="2"/>
        <v>284</v>
      </c>
      <c r="F175" s="22">
        <v>7804</v>
      </c>
      <c r="G175" t="e" vm="2">
        <v>#VALUE!</v>
      </c>
      <c r="H175" cm="1" vm="3">
        <f t="array" aca="1" ref="H175" ca="1">_FV(G175,"Población")</f>
        <v>215313498</v>
      </c>
    </row>
    <row r="176" spans="1:8" x14ac:dyDescent="0.35">
      <c r="A176" t="s">
        <v>256</v>
      </c>
      <c r="B176" t="s">
        <v>361</v>
      </c>
      <c r="C176" t="s">
        <v>584</v>
      </c>
      <c r="D176" s="24">
        <v>45678</v>
      </c>
      <c r="E176" s="25">
        <f t="shared" ca="1" si="2"/>
        <v>287</v>
      </c>
      <c r="F176" s="22">
        <v>10256</v>
      </c>
      <c r="G176" t="e" vm="4">
        <v>#VALUE!</v>
      </c>
      <c r="H176" cm="1" vm="5">
        <f t="array" aca="1" ref="H176" ca="1">_FV(G176,"Población")</f>
        <v>1412175000</v>
      </c>
    </row>
    <row r="177" spans="1:8" x14ac:dyDescent="0.35">
      <c r="A177" t="s">
        <v>257</v>
      </c>
      <c r="B177" t="s">
        <v>425</v>
      </c>
      <c r="C177" t="s">
        <v>694</v>
      </c>
      <c r="D177" s="24">
        <v>45683</v>
      </c>
      <c r="E177" s="25">
        <f t="shared" ca="1" si="2"/>
        <v>282</v>
      </c>
      <c r="F177" s="22">
        <v>5220</v>
      </c>
      <c r="G177" t="e" vm="6">
        <v>#VALUE!</v>
      </c>
      <c r="H177" cm="1" vm="7">
        <f t="array" aca="1" ref="H177" ca="1">_FV(G177,"Población")</f>
        <v>46234830</v>
      </c>
    </row>
    <row r="178" spans="1:8" x14ac:dyDescent="0.35">
      <c r="A178" t="s">
        <v>258</v>
      </c>
      <c r="B178" t="s">
        <v>361</v>
      </c>
      <c r="C178" t="s">
        <v>481</v>
      </c>
      <c r="D178" s="24">
        <v>45628</v>
      </c>
      <c r="E178" s="25">
        <f t="shared" ca="1" si="2"/>
        <v>337</v>
      </c>
      <c r="F178" s="22">
        <v>2916</v>
      </c>
      <c r="G178" t="e" vm="2">
        <v>#VALUE!</v>
      </c>
      <c r="H178" cm="1" vm="3">
        <f t="array" aca="1" ref="H178" ca="1">_FV(G178,"Población")</f>
        <v>215313498</v>
      </c>
    </row>
    <row r="179" spans="1:8" x14ac:dyDescent="0.35">
      <c r="A179" t="s">
        <v>259</v>
      </c>
      <c r="B179" t="s">
        <v>81</v>
      </c>
      <c r="C179" t="s">
        <v>482</v>
      </c>
      <c r="D179" s="24">
        <v>45687</v>
      </c>
      <c r="E179" s="25">
        <f t="shared" ca="1" si="2"/>
        <v>278</v>
      </c>
      <c r="F179" s="22">
        <v>17349</v>
      </c>
      <c r="G179" t="e" vm="2">
        <v>#VALUE!</v>
      </c>
      <c r="H179" cm="1" vm="3">
        <f t="array" aca="1" ref="H179" ca="1">_FV(G179,"Población")</f>
        <v>215313498</v>
      </c>
    </row>
    <row r="180" spans="1:8" x14ac:dyDescent="0.35">
      <c r="A180" t="s">
        <v>260</v>
      </c>
      <c r="B180" t="s">
        <v>350</v>
      </c>
      <c r="C180" t="s">
        <v>585</v>
      </c>
      <c r="D180" s="24">
        <v>45599</v>
      </c>
      <c r="E180" s="25">
        <f t="shared" ca="1" si="2"/>
        <v>366</v>
      </c>
      <c r="F180" s="22">
        <v>12904</v>
      </c>
      <c r="G180" t="e" vm="4">
        <v>#VALUE!</v>
      </c>
      <c r="H180" cm="1" vm="5">
        <f t="array" aca="1" ref="H180" ca="1">_FV(G180,"Población")</f>
        <v>1412175000</v>
      </c>
    </row>
    <row r="181" spans="1:8" x14ac:dyDescent="0.35">
      <c r="A181" t="s">
        <v>261</v>
      </c>
      <c r="B181" t="s">
        <v>350</v>
      </c>
      <c r="C181" t="s">
        <v>586</v>
      </c>
      <c r="D181" s="24">
        <v>45626</v>
      </c>
      <c r="E181" s="25">
        <f t="shared" ca="1" si="2"/>
        <v>339</v>
      </c>
      <c r="F181" s="22">
        <v>2842</v>
      </c>
      <c r="G181" t="e" vm="4">
        <v>#VALUE!</v>
      </c>
      <c r="H181" cm="1" vm="5">
        <f t="array" aca="1" ref="H181" ca="1">_FV(G181,"Población")</f>
        <v>1412175000</v>
      </c>
    </row>
    <row r="182" spans="1:8" x14ac:dyDescent="0.35">
      <c r="A182" t="s">
        <v>262</v>
      </c>
      <c r="B182" t="s">
        <v>350</v>
      </c>
      <c r="C182" t="s">
        <v>587</v>
      </c>
      <c r="D182" s="24">
        <v>45632</v>
      </c>
      <c r="E182" s="25">
        <f t="shared" ca="1" si="2"/>
        <v>333</v>
      </c>
      <c r="F182" s="22">
        <v>4549</v>
      </c>
      <c r="G182" t="e" vm="4">
        <v>#VALUE!</v>
      </c>
      <c r="H182" cm="1" vm="5">
        <f t="array" aca="1" ref="H182" ca="1">_FV(G182,"Población")</f>
        <v>1412175000</v>
      </c>
    </row>
    <row r="183" spans="1:8" x14ac:dyDescent="0.35">
      <c r="A183" t="s">
        <v>263</v>
      </c>
      <c r="B183" t="s">
        <v>305</v>
      </c>
      <c r="C183" t="s">
        <v>483</v>
      </c>
      <c r="D183" s="24">
        <v>45608</v>
      </c>
      <c r="E183" s="25">
        <f t="shared" ca="1" si="2"/>
        <v>357</v>
      </c>
      <c r="F183" s="22">
        <v>3890</v>
      </c>
      <c r="G183" t="e" vm="2">
        <v>#VALUE!</v>
      </c>
      <c r="H183" cm="1" vm="3">
        <f t="array" aca="1" ref="H183" ca="1">_FV(G183,"Población")</f>
        <v>215313498</v>
      </c>
    </row>
    <row r="184" spans="1:8" x14ac:dyDescent="0.35">
      <c r="A184" t="s">
        <v>264</v>
      </c>
      <c r="B184" t="s">
        <v>110</v>
      </c>
      <c r="C184" t="s">
        <v>588</v>
      </c>
      <c r="D184" s="24">
        <v>45624</v>
      </c>
      <c r="E184" s="25">
        <f t="shared" ca="1" si="2"/>
        <v>341</v>
      </c>
      <c r="F184" s="22">
        <v>16896</v>
      </c>
      <c r="G184" t="e" vm="4">
        <v>#VALUE!</v>
      </c>
      <c r="H184" cm="1" vm="5">
        <f t="array" aca="1" ref="H184" ca="1">_FV(G184,"Población")</f>
        <v>1412175000</v>
      </c>
    </row>
    <row r="185" spans="1:8" x14ac:dyDescent="0.35">
      <c r="A185" t="s">
        <v>265</v>
      </c>
      <c r="B185" t="s">
        <v>425</v>
      </c>
      <c r="C185" t="s">
        <v>484</v>
      </c>
      <c r="D185" s="24">
        <v>45644</v>
      </c>
      <c r="E185" s="25">
        <f t="shared" ca="1" si="2"/>
        <v>321</v>
      </c>
      <c r="F185" s="22">
        <v>3060</v>
      </c>
      <c r="G185" t="e" vm="2">
        <v>#VALUE!</v>
      </c>
      <c r="H185" cm="1" vm="3">
        <f t="array" aca="1" ref="H185" ca="1">_FV(G185,"Población")</f>
        <v>215313498</v>
      </c>
    </row>
    <row r="186" spans="1:8" x14ac:dyDescent="0.35">
      <c r="A186" t="s">
        <v>266</v>
      </c>
      <c r="B186" t="s">
        <v>110</v>
      </c>
      <c r="C186" t="s">
        <v>485</v>
      </c>
      <c r="D186" s="24">
        <v>45605</v>
      </c>
      <c r="E186" s="25">
        <f t="shared" ca="1" si="2"/>
        <v>360</v>
      </c>
      <c r="F186" s="22">
        <v>17040</v>
      </c>
      <c r="G186" t="e" vm="2">
        <v>#VALUE!</v>
      </c>
      <c r="H186" cm="1" vm="3">
        <f t="array" aca="1" ref="H186" ca="1">_FV(G186,"Población")</f>
        <v>215313498</v>
      </c>
    </row>
    <row r="187" spans="1:8" x14ac:dyDescent="0.35">
      <c r="A187" t="s">
        <v>267</v>
      </c>
      <c r="B187" t="s">
        <v>361</v>
      </c>
      <c r="C187" t="s">
        <v>695</v>
      </c>
      <c r="D187" s="24">
        <v>45657</v>
      </c>
      <c r="E187" s="25">
        <f t="shared" ca="1" si="2"/>
        <v>308</v>
      </c>
      <c r="F187" s="22">
        <v>12374</v>
      </c>
      <c r="G187" t="e" vm="6">
        <v>#VALUE!</v>
      </c>
      <c r="H187" cm="1" vm="7">
        <f t="array" aca="1" ref="H187" ca="1">_FV(G187,"Población")</f>
        <v>46234830</v>
      </c>
    </row>
    <row r="188" spans="1:8" x14ac:dyDescent="0.35">
      <c r="A188" t="s">
        <v>268</v>
      </c>
      <c r="B188" t="s">
        <v>350</v>
      </c>
      <c r="C188" t="s">
        <v>696</v>
      </c>
      <c r="D188" s="24">
        <v>45637</v>
      </c>
      <c r="E188" s="25">
        <f t="shared" ca="1" si="2"/>
        <v>328</v>
      </c>
      <c r="F188" s="22">
        <v>13284</v>
      </c>
      <c r="G188" t="e" vm="6">
        <v>#VALUE!</v>
      </c>
      <c r="H188" cm="1" vm="7">
        <f t="array" aca="1" ref="H188" ca="1">_FV(G188,"Población")</f>
        <v>46234830</v>
      </c>
    </row>
    <row r="189" spans="1:8" x14ac:dyDescent="0.35">
      <c r="A189" t="s">
        <v>269</v>
      </c>
      <c r="B189" t="s">
        <v>350</v>
      </c>
      <c r="C189" t="s">
        <v>486</v>
      </c>
      <c r="D189" s="24">
        <v>45606</v>
      </c>
      <c r="E189" s="25">
        <f t="shared" ca="1" si="2"/>
        <v>359</v>
      </c>
      <c r="F189" s="22">
        <v>10837</v>
      </c>
      <c r="G189" t="e" vm="2">
        <v>#VALUE!</v>
      </c>
      <c r="H189" cm="1" vm="3">
        <f t="array" aca="1" ref="H189" ca="1">_FV(G189,"Población")</f>
        <v>215313498</v>
      </c>
    </row>
    <row r="190" spans="1:8" x14ac:dyDescent="0.35">
      <c r="A190" t="s">
        <v>270</v>
      </c>
      <c r="B190" t="s">
        <v>425</v>
      </c>
      <c r="C190" t="s">
        <v>487</v>
      </c>
      <c r="D190" s="24">
        <v>45669</v>
      </c>
      <c r="E190" s="25">
        <f t="shared" ca="1" si="2"/>
        <v>296</v>
      </c>
      <c r="F190" s="22">
        <v>9772</v>
      </c>
      <c r="G190" t="e" vm="2">
        <v>#VALUE!</v>
      </c>
      <c r="H190" cm="1" vm="3">
        <f t="array" aca="1" ref="H190" ca="1">_FV(G190,"Población")</f>
        <v>215313498</v>
      </c>
    </row>
    <row r="191" spans="1:8" x14ac:dyDescent="0.35">
      <c r="A191" t="s">
        <v>271</v>
      </c>
      <c r="B191" t="s">
        <v>110</v>
      </c>
      <c r="C191" t="s">
        <v>697</v>
      </c>
      <c r="D191" s="24">
        <v>45621</v>
      </c>
      <c r="E191" s="25">
        <f t="shared" ca="1" si="2"/>
        <v>344</v>
      </c>
      <c r="F191" s="22">
        <v>18468</v>
      </c>
      <c r="G191" t="e" vm="6">
        <v>#VALUE!</v>
      </c>
      <c r="H191" cm="1" vm="7">
        <f t="array" aca="1" ref="H191" ca="1">_FV(G191,"Población")</f>
        <v>46234830</v>
      </c>
    </row>
    <row r="192" spans="1:8" x14ac:dyDescent="0.35">
      <c r="A192" t="s">
        <v>272</v>
      </c>
      <c r="B192" t="s">
        <v>361</v>
      </c>
      <c r="C192" t="s">
        <v>488</v>
      </c>
      <c r="D192" s="24">
        <v>45607</v>
      </c>
      <c r="E192" s="25">
        <f t="shared" ca="1" si="2"/>
        <v>358</v>
      </c>
      <c r="F192" s="22">
        <v>15295</v>
      </c>
      <c r="G192" t="e" vm="2">
        <v>#VALUE!</v>
      </c>
      <c r="H192" cm="1" vm="3">
        <f t="array" aca="1" ref="H192" ca="1">_FV(G192,"Población")</f>
        <v>215313498</v>
      </c>
    </row>
    <row r="193" spans="1:8" x14ac:dyDescent="0.35">
      <c r="A193" t="s">
        <v>273</v>
      </c>
      <c r="B193" t="s">
        <v>305</v>
      </c>
      <c r="C193" t="s">
        <v>589</v>
      </c>
      <c r="D193" s="24">
        <v>45605</v>
      </c>
      <c r="E193" s="25">
        <f t="shared" ca="1" si="2"/>
        <v>360</v>
      </c>
      <c r="F193" s="22">
        <v>12456</v>
      </c>
      <c r="G193" t="e" vm="4">
        <v>#VALUE!</v>
      </c>
      <c r="H193" cm="1" vm="5">
        <f t="array" aca="1" ref="H193" ca="1">_FV(G193,"Población")</f>
        <v>1412175000</v>
      </c>
    </row>
    <row r="194" spans="1:8" x14ac:dyDescent="0.35">
      <c r="A194" t="s">
        <v>274</v>
      </c>
      <c r="B194" t="s">
        <v>81</v>
      </c>
      <c r="C194" t="s">
        <v>698</v>
      </c>
      <c r="D194" s="24">
        <v>45638</v>
      </c>
      <c r="E194" s="25">
        <f t="shared" ca="1" si="2"/>
        <v>327</v>
      </c>
      <c r="F194" s="22">
        <v>16568</v>
      </c>
      <c r="G194" t="e" vm="6">
        <v>#VALUE!</v>
      </c>
      <c r="H194" cm="1" vm="7">
        <f t="array" aca="1" ref="H194" ca="1">_FV(G194,"Población")</f>
        <v>46234830</v>
      </c>
    </row>
    <row r="195" spans="1:8" x14ac:dyDescent="0.35">
      <c r="A195" t="s">
        <v>275</v>
      </c>
      <c r="B195" t="s">
        <v>81</v>
      </c>
      <c r="C195" t="s">
        <v>489</v>
      </c>
      <c r="D195" s="24">
        <v>45666</v>
      </c>
      <c r="E195" s="25">
        <f t="shared" ref="E195:E258" ca="1" si="3">TODAY()-D195</f>
        <v>299</v>
      </c>
      <c r="F195" s="22">
        <v>8590</v>
      </c>
      <c r="G195" t="e" vm="2">
        <v>#VALUE!</v>
      </c>
      <c r="H195" cm="1" vm="3">
        <f t="array" aca="1" ref="H195" ca="1">_FV(G195,"Población")</f>
        <v>215313498</v>
      </c>
    </row>
    <row r="196" spans="1:8" x14ac:dyDescent="0.35">
      <c r="A196" t="s">
        <v>276</v>
      </c>
      <c r="B196" t="s">
        <v>305</v>
      </c>
      <c r="C196" t="s">
        <v>490</v>
      </c>
      <c r="D196" s="24">
        <v>45669</v>
      </c>
      <c r="E196" s="25">
        <f t="shared" ca="1" si="3"/>
        <v>296</v>
      </c>
      <c r="F196" s="22">
        <v>8065</v>
      </c>
      <c r="G196" t="e" vm="2">
        <v>#VALUE!</v>
      </c>
      <c r="H196" cm="1" vm="3">
        <f t="array" aca="1" ref="H196" ca="1">_FV(G196,"Población")</f>
        <v>215313498</v>
      </c>
    </row>
    <row r="197" spans="1:8" x14ac:dyDescent="0.35">
      <c r="A197" t="s">
        <v>277</v>
      </c>
      <c r="B197" t="s">
        <v>81</v>
      </c>
      <c r="C197" t="s">
        <v>590</v>
      </c>
      <c r="D197" s="24">
        <v>45684</v>
      </c>
      <c r="E197" s="25">
        <f t="shared" ca="1" si="3"/>
        <v>281</v>
      </c>
      <c r="F197" s="22">
        <v>14003</v>
      </c>
      <c r="G197" t="e" vm="4">
        <v>#VALUE!</v>
      </c>
      <c r="H197" cm="1" vm="5">
        <f t="array" aca="1" ref="H197" ca="1">_FV(G197,"Población")</f>
        <v>1412175000</v>
      </c>
    </row>
    <row r="198" spans="1:8" x14ac:dyDescent="0.35">
      <c r="A198" t="s">
        <v>278</v>
      </c>
      <c r="B198" t="s">
        <v>305</v>
      </c>
      <c r="C198" t="s">
        <v>699</v>
      </c>
      <c r="D198" s="24">
        <v>45652</v>
      </c>
      <c r="E198" s="25">
        <f t="shared" ca="1" si="3"/>
        <v>313</v>
      </c>
      <c r="F198" s="22">
        <v>4415</v>
      </c>
      <c r="G198" t="e" vm="6">
        <v>#VALUE!</v>
      </c>
      <c r="H198" cm="1" vm="7">
        <f t="array" aca="1" ref="H198" ca="1">_FV(G198,"Población")</f>
        <v>46234830</v>
      </c>
    </row>
    <row r="199" spans="1:8" x14ac:dyDescent="0.35">
      <c r="A199" t="s">
        <v>279</v>
      </c>
      <c r="B199" t="s">
        <v>110</v>
      </c>
      <c r="C199" t="s">
        <v>591</v>
      </c>
      <c r="D199" s="24">
        <v>45660</v>
      </c>
      <c r="E199" s="25">
        <f t="shared" ca="1" si="3"/>
        <v>305</v>
      </c>
      <c r="F199" s="22">
        <v>9724</v>
      </c>
      <c r="G199" t="e" vm="4">
        <v>#VALUE!</v>
      </c>
      <c r="H199" cm="1" vm="5">
        <f t="array" aca="1" ref="H199" ca="1">_FV(G199,"Población")</f>
        <v>1412175000</v>
      </c>
    </row>
    <row r="200" spans="1:8" x14ac:dyDescent="0.35">
      <c r="A200" t="s">
        <v>280</v>
      </c>
      <c r="B200" t="s">
        <v>127</v>
      </c>
      <c r="C200" t="s">
        <v>491</v>
      </c>
      <c r="D200" s="24">
        <v>45656</v>
      </c>
      <c r="E200" s="25">
        <f t="shared" ca="1" si="3"/>
        <v>309</v>
      </c>
      <c r="F200" s="22">
        <v>1683</v>
      </c>
      <c r="G200" t="e" vm="2">
        <v>#VALUE!</v>
      </c>
      <c r="H200" cm="1" vm="3">
        <f t="array" aca="1" ref="H200" ca="1">_FV(G200,"Población")</f>
        <v>215313498</v>
      </c>
    </row>
    <row r="201" spans="1:8" x14ac:dyDescent="0.35">
      <c r="A201" t="s">
        <v>281</v>
      </c>
      <c r="B201" t="s">
        <v>305</v>
      </c>
      <c r="C201" t="s">
        <v>700</v>
      </c>
      <c r="D201" s="24">
        <v>45622</v>
      </c>
      <c r="E201" s="25">
        <f t="shared" ca="1" si="3"/>
        <v>343</v>
      </c>
      <c r="F201" s="22">
        <v>14094</v>
      </c>
      <c r="G201" t="e" vm="6">
        <v>#VALUE!</v>
      </c>
      <c r="H201" cm="1" vm="7">
        <f t="array" aca="1" ref="H201" ca="1">_FV(G201,"Población")</f>
        <v>46234830</v>
      </c>
    </row>
    <row r="202" spans="1:8" x14ac:dyDescent="0.35">
      <c r="A202" t="s">
        <v>282</v>
      </c>
      <c r="B202" t="s">
        <v>81</v>
      </c>
      <c r="C202" t="s">
        <v>701</v>
      </c>
      <c r="D202" s="24">
        <v>45660</v>
      </c>
      <c r="E202" s="25">
        <f t="shared" ca="1" si="3"/>
        <v>305</v>
      </c>
      <c r="F202" s="22">
        <v>10199</v>
      </c>
      <c r="G202" t="e" vm="6">
        <v>#VALUE!</v>
      </c>
      <c r="H202" cm="1" vm="7">
        <f t="array" aca="1" ref="H202" ca="1">_FV(G202,"Población")</f>
        <v>46234830</v>
      </c>
    </row>
    <row r="203" spans="1:8" x14ac:dyDescent="0.35">
      <c r="A203" t="s">
        <v>283</v>
      </c>
      <c r="B203" t="s">
        <v>361</v>
      </c>
      <c r="C203" t="s">
        <v>592</v>
      </c>
      <c r="D203" s="24">
        <v>45620</v>
      </c>
      <c r="E203" s="25">
        <f t="shared" ca="1" si="3"/>
        <v>345</v>
      </c>
      <c r="F203" s="22">
        <v>9358</v>
      </c>
      <c r="G203" t="e" vm="4">
        <v>#VALUE!</v>
      </c>
      <c r="H203" cm="1" vm="5">
        <f t="array" aca="1" ref="H203" ca="1">_FV(G203,"Población")</f>
        <v>1412175000</v>
      </c>
    </row>
    <row r="204" spans="1:8" x14ac:dyDescent="0.35">
      <c r="A204" t="s">
        <v>284</v>
      </c>
      <c r="B204" t="s">
        <v>361</v>
      </c>
      <c r="C204" t="s">
        <v>492</v>
      </c>
      <c r="D204" s="24">
        <v>45655</v>
      </c>
      <c r="E204" s="25">
        <f t="shared" ca="1" si="3"/>
        <v>310</v>
      </c>
      <c r="F204" s="22">
        <v>17161</v>
      </c>
      <c r="G204" t="e" vm="2">
        <v>#VALUE!</v>
      </c>
      <c r="H204" cm="1" vm="3">
        <f t="array" aca="1" ref="H204" ca="1">_FV(G204,"Población")</f>
        <v>215313498</v>
      </c>
    </row>
    <row r="205" spans="1:8" x14ac:dyDescent="0.35">
      <c r="A205" t="s">
        <v>285</v>
      </c>
      <c r="B205" t="s">
        <v>425</v>
      </c>
      <c r="C205" t="s">
        <v>593</v>
      </c>
      <c r="D205" s="24">
        <v>45678</v>
      </c>
      <c r="E205" s="25">
        <f t="shared" ca="1" si="3"/>
        <v>287</v>
      </c>
      <c r="F205" s="22">
        <v>6766</v>
      </c>
      <c r="G205" t="e" vm="4">
        <v>#VALUE!</v>
      </c>
      <c r="H205" cm="1" vm="5">
        <f t="array" aca="1" ref="H205" ca="1">_FV(G205,"Población")</f>
        <v>1412175000</v>
      </c>
    </row>
    <row r="206" spans="1:8" x14ac:dyDescent="0.35">
      <c r="A206" t="s">
        <v>286</v>
      </c>
      <c r="B206" t="s">
        <v>127</v>
      </c>
      <c r="C206" t="s">
        <v>594</v>
      </c>
      <c r="D206" s="24">
        <v>45632</v>
      </c>
      <c r="E206" s="25">
        <f t="shared" ca="1" si="3"/>
        <v>333</v>
      </c>
      <c r="F206" s="22">
        <v>7675</v>
      </c>
      <c r="G206" t="e" vm="4">
        <v>#VALUE!</v>
      </c>
      <c r="H206" cm="1" vm="5">
        <f t="array" aca="1" ref="H206" ca="1">_FV(G206,"Población")</f>
        <v>1412175000</v>
      </c>
    </row>
    <row r="207" spans="1:8" x14ac:dyDescent="0.35">
      <c r="A207" t="s">
        <v>287</v>
      </c>
      <c r="B207" t="s">
        <v>350</v>
      </c>
      <c r="C207" t="s">
        <v>702</v>
      </c>
      <c r="D207" s="24">
        <v>45633</v>
      </c>
      <c r="E207" s="25">
        <f t="shared" ca="1" si="3"/>
        <v>332</v>
      </c>
      <c r="F207" s="22">
        <v>3683</v>
      </c>
      <c r="G207" t="e" vm="6">
        <v>#VALUE!</v>
      </c>
      <c r="H207" cm="1" vm="7">
        <f t="array" aca="1" ref="H207" ca="1">_FV(G207,"Población")</f>
        <v>46234830</v>
      </c>
    </row>
    <row r="208" spans="1:8" x14ac:dyDescent="0.35">
      <c r="A208" t="s">
        <v>288</v>
      </c>
      <c r="B208" t="s">
        <v>350</v>
      </c>
      <c r="C208" t="s">
        <v>595</v>
      </c>
      <c r="D208" s="24">
        <v>45681</v>
      </c>
      <c r="E208" s="25">
        <f t="shared" ca="1" si="3"/>
        <v>284</v>
      </c>
      <c r="F208" s="22">
        <v>11360</v>
      </c>
      <c r="G208" t="e" vm="4">
        <v>#VALUE!</v>
      </c>
      <c r="H208" cm="1" vm="5">
        <f t="array" aca="1" ref="H208" ca="1">_FV(G208,"Población")</f>
        <v>1412175000</v>
      </c>
    </row>
    <row r="209" spans="1:8" x14ac:dyDescent="0.35">
      <c r="A209" t="s">
        <v>289</v>
      </c>
      <c r="B209" t="s">
        <v>425</v>
      </c>
      <c r="C209" t="s">
        <v>703</v>
      </c>
      <c r="D209" s="24">
        <v>45633</v>
      </c>
      <c r="E209" s="25">
        <f t="shared" ca="1" si="3"/>
        <v>332</v>
      </c>
      <c r="F209" s="22">
        <v>9882</v>
      </c>
      <c r="G209" t="e" vm="6">
        <v>#VALUE!</v>
      </c>
      <c r="H209" cm="1" vm="7">
        <f t="array" aca="1" ref="H209" ca="1">_FV(G209,"Población")</f>
        <v>46234830</v>
      </c>
    </row>
    <row r="210" spans="1:8" x14ac:dyDescent="0.35">
      <c r="A210" t="s">
        <v>290</v>
      </c>
      <c r="B210" t="s">
        <v>81</v>
      </c>
      <c r="C210" t="s">
        <v>596</v>
      </c>
      <c r="D210" s="24">
        <v>45601</v>
      </c>
      <c r="E210" s="25">
        <f t="shared" ca="1" si="3"/>
        <v>364</v>
      </c>
      <c r="F210" s="22">
        <v>2607</v>
      </c>
      <c r="G210" t="e" vm="4">
        <v>#VALUE!</v>
      </c>
      <c r="H210" cm="1" vm="5">
        <f t="array" aca="1" ref="H210" ca="1">_FV(G210,"Población")</f>
        <v>1412175000</v>
      </c>
    </row>
    <row r="211" spans="1:8" x14ac:dyDescent="0.35">
      <c r="A211" t="s">
        <v>291</v>
      </c>
      <c r="B211" t="s">
        <v>305</v>
      </c>
      <c r="C211" t="s">
        <v>704</v>
      </c>
      <c r="D211" s="24">
        <v>45662</v>
      </c>
      <c r="E211" s="25">
        <f t="shared" ca="1" si="3"/>
        <v>303</v>
      </c>
      <c r="F211" s="22">
        <v>12736</v>
      </c>
      <c r="G211" t="e" vm="6">
        <v>#VALUE!</v>
      </c>
      <c r="H211" cm="1" vm="7">
        <f t="array" aca="1" ref="H211" ca="1">_FV(G211,"Población")</f>
        <v>46234830</v>
      </c>
    </row>
    <row r="212" spans="1:8" x14ac:dyDescent="0.35">
      <c r="A212" t="s">
        <v>292</v>
      </c>
      <c r="B212" t="s">
        <v>81</v>
      </c>
      <c r="C212" t="s">
        <v>597</v>
      </c>
      <c r="D212" s="24">
        <v>45644</v>
      </c>
      <c r="E212" s="25">
        <f t="shared" ca="1" si="3"/>
        <v>321</v>
      </c>
      <c r="F212" s="22">
        <v>16087</v>
      </c>
      <c r="G212" t="e" vm="4">
        <v>#VALUE!</v>
      </c>
      <c r="H212" cm="1" vm="5">
        <f t="array" aca="1" ref="H212" ca="1">_FV(G212,"Población")</f>
        <v>1412175000</v>
      </c>
    </row>
    <row r="213" spans="1:8" x14ac:dyDescent="0.35">
      <c r="A213" t="s">
        <v>293</v>
      </c>
      <c r="B213" t="s">
        <v>425</v>
      </c>
      <c r="C213" t="s">
        <v>598</v>
      </c>
      <c r="D213" s="24">
        <v>45658</v>
      </c>
      <c r="E213" s="25">
        <f t="shared" ca="1" si="3"/>
        <v>307</v>
      </c>
      <c r="F213" s="22">
        <v>10964</v>
      </c>
      <c r="G213" t="e" vm="4">
        <v>#VALUE!</v>
      </c>
      <c r="H213" cm="1" vm="5">
        <f t="array" aca="1" ref="H213" ca="1">_FV(G213,"Población")</f>
        <v>1412175000</v>
      </c>
    </row>
    <row r="214" spans="1:8" x14ac:dyDescent="0.35">
      <c r="A214" t="s">
        <v>294</v>
      </c>
      <c r="B214" t="s">
        <v>110</v>
      </c>
      <c r="C214" t="s">
        <v>705</v>
      </c>
      <c r="D214" s="24">
        <v>45626</v>
      </c>
      <c r="E214" s="25">
        <f t="shared" ca="1" si="3"/>
        <v>339</v>
      </c>
      <c r="F214" s="22">
        <v>19950</v>
      </c>
      <c r="G214" t="e" vm="6">
        <v>#VALUE!</v>
      </c>
      <c r="H214" cm="1" vm="7">
        <f t="array" aca="1" ref="H214" ca="1">_FV(G214,"Población")</f>
        <v>46234830</v>
      </c>
    </row>
    <row r="215" spans="1:8" x14ac:dyDescent="0.35">
      <c r="A215" t="s">
        <v>295</v>
      </c>
      <c r="B215" t="s">
        <v>81</v>
      </c>
      <c r="C215" t="s">
        <v>706</v>
      </c>
      <c r="D215" s="24">
        <v>45609</v>
      </c>
      <c r="E215" s="25">
        <f t="shared" ca="1" si="3"/>
        <v>356</v>
      </c>
      <c r="F215" s="22">
        <v>14958</v>
      </c>
      <c r="G215" t="e" vm="6">
        <v>#VALUE!</v>
      </c>
      <c r="H215" cm="1" vm="7">
        <f t="array" aca="1" ref="H215" ca="1">_FV(G215,"Población")</f>
        <v>46234830</v>
      </c>
    </row>
    <row r="216" spans="1:8" x14ac:dyDescent="0.35">
      <c r="A216" t="s">
        <v>296</v>
      </c>
      <c r="B216" t="s">
        <v>361</v>
      </c>
      <c r="C216" t="s">
        <v>707</v>
      </c>
      <c r="D216" s="24">
        <v>45630</v>
      </c>
      <c r="E216" s="25">
        <f t="shared" ca="1" si="3"/>
        <v>335</v>
      </c>
      <c r="F216" s="22">
        <v>7770</v>
      </c>
      <c r="G216" t="e" vm="6">
        <v>#VALUE!</v>
      </c>
      <c r="H216" cm="1" vm="7">
        <f t="array" aca="1" ref="H216" ca="1">_FV(G216,"Población")</f>
        <v>46234830</v>
      </c>
    </row>
    <row r="217" spans="1:8" x14ac:dyDescent="0.35">
      <c r="A217" t="s">
        <v>297</v>
      </c>
      <c r="B217" t="s">
        <v>350</v>
      </c>
      <c r="C217" t="s">
        <v>599</v>
      </c>
      <c r="D217" s="24">
        <v>45667</v>
      </c>
      <c r="E217" s="25">
        <f t="shared" ca="1" si="3"/>
        <v>298</v>
      </c>
      <c r="F217" s="22">
        <v>16535</v>
      </c>
      <c r="G217" t="e" vm="4">
        <v>#VALUE!</v>
      </c>
      <c r="H217" cm="1" vm="5">
        <f t="array" aca="1" ref="H217" ca="1">_FV(G217,"Población")</f>
        <v>1412175000</v>
      </c>
    </row>
    <row r="218" spans="1:8" x14ac:dyDescent="0.35">
      <c r="A218" t="s">
        <v>298</v>
      </c>
      <c r="B218" t="s">
        <v>110</v>
      </c>
      <c r="C218" t="s">
        <v>708</v>
      </c>
      <c r="D218" s="24">
        <v>45630</v>
      </c>
      <c r="E218" s="25">
        <f t="shared" ca="1" si="3"/>
        <v>335</v>
      </c>
      <c r="F218" s="22">
        <v>9844</v>
      </c>
      <c r="G218" t="e" vm="6">
        <v>#VALUE!</v>
      </c>
      <c r="H218" cm="1" vm="7">
        <f t="array" aca="1" ref="H218" ca="1">_FV(G218,"Población")</f>
        <v>46234830</v>
      </c>
    </row>
    <row r="219" spans="1:8" x14ac:dyDescent="0.35">
      <c r="A219" t="s">
        <v>299</v>
      </c>
      <c r="B219" t="s">
        <v>305</v>
      </c>
      <c r="C219" t="s">
        <v>709</v>
      </c>
      <c r="D219" s="24">
        <v>45666</v>
      </c>
      <c r="E219" s="25">
        <f t="shared" ca="1" si="3"/>
        <v>299</v>
      </c>
      <c r="F219" s="22">
        <v>16796</v>
      </c>
      <c r="G219" t="e" vm="6">
        <v>#VALUE!</v>
      </c>
      <c r="H219" cm="1" vm="7">
        <f t="array" aca="1" ref="H219" ca="1">_FV(G219,"Población")</f>
        <v>46234830</v>
      </c>
    </row>
    <row r="220" spans="1:8" x14ac:dyDescent="0.35">
      <c r="A220" t="s">
        <v>300</v>
      </c>
      <c r="B220" t="s">
        <v>350</v>
      </c>
      <c r="C220" t="s">
        <v>710</v>
      </c>
      <c r="D220" s="24">
        <v>45658</v>
      </c>
      <c r="E220" s="25">
        <f t="shared" ca="1" si="3"/>
        <v>307</v>
      </c>
      <c r="F220" s="22">
        <v>15453</v>
      </c>
      <c r="G220" t="e" vm="6">
        <v>#VALUE!</v>
      </c>
      <c r="H220" cm="1" vm="7">
        <f t="array" aca="1" ref="H220" ca="1">_FV(G220,"Población")</f>
        <v>46234830</v>
      </c>
    </row>
    <row r="221" spans="1:8" x14ac:dyDescent="0.35">
      <c r="A221" t="s">
        <v>301</v>
      </c>
      <c r="B221" t="s">
        <v>350</v>
      </c>
      <c r="C221" t="s">
        <v>600</v>
      </c>
      <c r="D221" s="24">
        <v>45613</v>
      </c>
      <c r="E221" s="25">
        <f t="shared" ca="1" si="3"/>
        <v>352</v>
      </c>
      <c r="F221" s="22">
        <v>17402</v>
      </c>
      <c r="G221" t="e" vm="4">
        <v>#VALUE!</v>
      </c>
      <c r="H221" cm="1" vm="5">
        <f t="array" aca="1" ref="H221" ca="1">_FV(G221,"Población")</f>
        <v>1412175000</v>
      </c>
    </row>
    <row r="222" spans="1:8" x14ac:dyDescent="0.35">
      <c r="A222" t="s">
        <v>302</v>
      </c>
      <c r="B222" t="s">
        <v>425</v>
      </c>
      <c r="C222" t="s">
        <v>711</v>
      </c>
      <c r="D222" s="24">
        <v>45621</v>
      </c>
      <c r="E222" s="25">
        <f t="shared" ca="1" si="3"/>
        <v>344</v>
      </c>
      <c r="F222" s="22">
        <v>7306</v>
      </c>
      <c r="G222" t="e" vm="6">
        <v>#VALUE!</v>
      </c>
      <c r="H222" cm="1" vm="7">
        <f t="array" aca="1" ref="H222" ca="1">_FV(G222,"Población")</f>
        <v>46234830</v>
      </c>
    </row>
    <row r="223" spans="1:8" x14ac:dyDescent="0.35">
      <c r="A223" t="s">
        <v>303</v>
      </c>
      <c r="B223" t="s">
        <v>81</v>
      </c>
      <c r="C223" t="s">
        <v>601</v>
      </c>
      <c r="D223" s="24">
        <v>45632</v>
      </c>
      <c r="E223" s="25">
        <f t="shared" ca="1" si="3"/>
        <v>333</v>
      </c>
      <c r="F223" s="22">
        <v>7224</v>
      </c>
      <c r="G223" t="e" vm="4">
        <v>#VALUE!</v>
      </c>
      <c r="H223" cm="1" vm="5">
        <f t="array" aca="1" ref="H223" ca="1">_FV(G223,"Población")</f>
        <v>1412175000</v>
      </c>
    </row>
    <row r="224" spans="1:8" x14ac:dyDescent="0.35">
      <c r="A224" t="s">
        <v>304</v>
      </c>
      <c r="B224" t="s">
        <v>127</v>
      </c>
      <c r="C224" t="s">
        <v>493</v>
      </c>
      <c r="D224" s="24">
        <v>45685</v>
      </c>
      <c r="E224" s="25">
        <f t="shared" ca="1" si="3"/>
        <v>280</v>
      </c>
      <c r="F224" s="22">
        <v>10978</v>
      </c>
      <c r="G224" t="e" vm="2">
        <v>#VALUE!</v>
      </c>
      <c r="H224" cm="1" vm="3">
        <f t="array" aca="1" ref="H224" ca="1">_FV(G224,"Población")</f>
        <v>215313498</v>
      </c>
    </row>
    <row r="225" spans="1:8" x14ac:dyDescent="0.35">
      <c r="A225" t="s">
        <v>306</v>
      </c>
      <c r="B225" t="s">
        <v>350</v>
      </c>
      <c r="C225" t="s">
        <v>712</v>
      </c>
      <c r="D225" s="24">
        <v>45601</v>
      </c>
      <c r="E225" s="25">
        <f t="shared" ca="1" si="3"/>
        <v>364</v>
      </c>
      <c r="F225" s="22">
        <v>7277</v>
      </c>
      <c r="G225" t="e" vm="6">
        <v>#VALUE!</v>
      </c>
      <c r="H225" cm="1" vm="7">
        <f t="array" aca="1" ref="H225" ca="1">_FV(G225,"Población")</f>
        <v>46234830</v>
      </c>
    </row>
    <row r="226" spans="1:8" x14ac:dyDescent="0.35">
      <c r="A226" t="s">
        <v>307</v>
      </c>
      <c r="B226" t="s">
        <v>305</v>
      </c>
      <c r="C226" t="s">
        <v>494</v>
      </c>
      <c r="D226" s="24">
        <v>45640</v>
      </c>
      <c r="E226" s="25">
        <f t="shared" ca="1" si="3"/>
        <v>325</v>
      </c>
      <c r="F226" s="22">
        <v>10150</v>
      </c>
      <c r="G226" t="e" vm="2">
        <v>#VALUE!</v>
      </c>
      <c r="H226" cm="1" vm="3">
        <f t="array" aca="1" ref="H226" ca="1">_FV(G226,"Población")</f>
        <v>215313498</v>
      </c>
    </row>
    <row r="227" spans="1:8" x14ac:dyDescent="0.35">
      <c r="A227" t="s">
        <v>308</v>
      </c>
      <c r="B227" t="s">
        <v>81</v>
      </c>
      <c r="C227" t="s">
        <v>602</v>
      </c>
      <c r="D227" s="24">
        <v>45620</v>
      </c>
      <c r="E227" s="25">
        <f t="shared" ca="1" si="3"/>
        <v>345</v>
      </c>
      <c r="F227" s="22">
        <v>6534</v>
      </c>
      <c r="G227" t="e" vm="4">
        <v>#VALUE!</v>
      </c>
      <c r="H227" cm="1" vm="5">
        <f t="array" aca="1" ref="H227" ca="1">_FV(G227,"Población")</f>
        <v>1412175000</v>
      </c>
    </row>
    <row r="228" spans="1:8" x14ac:dyDescent="0.35">
      <c r="A228" t="s">
        <v>309</v>
      </c>
      <c r="B228" t="s">
        <v>425</v>
      </c>
      <c r="C228" t="s">
        <v>713</v>
      </c>
      <c r="D228" s="24">
        <v>45620</v>
      </c>
      <c r="E228" s="25">
        <f t="shared" ca="1" si="3"/>
        <v>345</v>
      </c>
      <c r="F228" s="22">
        <v>3167</v>
      </c>
      <c r="G228" t="e" vm="6">
        <v>#VALUE!</v>
      </c>
      <c r="H228" cm="1" vm="7">
        <f t="array" aca="1" ref="H228" ca="1">_FV(G228,"Población")</f>
        <v>46234830</v>
      </c>
    </row>
    <row r="229" spans="1:8" x14ac:dyDescent="0.35">
      <c r="A229" t="s">
        <v>310</v>
      </c>
      <c r="B229" t="s">
        <v>110</v>
      </c>
      <c r="C229" t="s">
        <v>495</v>
      </c>
      <c r="D229" s="24">
        <v>45670</v>
      </c>
      <c r="E229" s="25">
        <f t="shared" ca="1" si="3"/>
        <v>295</v>
      </c>
      <c r="F229" s="22">
        <v>5089</v>
      </c>
      <c r="G229" t="e" vm="2">
        <v>#VALUE!</v>
      </c>
      <c r="H229" cm="1" vm="3">
        <f t="array" aca="1" ref="H229" ca="1">_FV(G229,"Población")</f>
        <v>215313498</v>
      </c>
    </row>
    <row r="230" spans="1:8" x14ac:dyDescent="0.35">
      <c r="A230" t="s">
        <v>311</v>
      </c>
      <c r="B230" t="s">
        <v>361</v>
      </c>
      <c r="C230" t="s">
        <v>714</v>
      </c>
      <c r="D230" s="24">
        <v>45628</v>
      </c>
      <c r="E230" s="25">
        <f t="shared" ca="1" si="3"/>
        <v>337</v>
      </c>
      <c r="F230" s="22">
        <v>14449</v>
      </c>
      <c r="G230" t="e" vm="6">
        <v>#VALUE!</v>
      </c>
      <c r="H230" cm="1" vm="7">
        <f t="array" aca="1" ref="H230" ca="1">_FV(G230,"Población")</f>
        <v>46234830</v>
      </c>
    </row>
    <row r="231" spans="1:8" x14ac:dyDescent="0.35">
      <c r="A231" t="s">
        <v>312</v>
      </c>
      <c r="B231" t="s">
        <v>305</v>
      </c>
      <c r="C231" t="s">
        <v>603</v>
      </c>
      <c r="D231" s="24">
        <v>45603</v>
      </c>
      <c r="E231" s="25">
        <f t="shared" ca="1" si="3"/>
        <v>362</v>
      </c>
      <c r="F231" s="22">
        <v>10046</v>
      </c>
      <c r="G231" t="e" vm="4">
        <v>#VALUE!</v>
      </c>
      <c r="H231" cm="1" vm="5">
        <f t="array" aca="1" ref="H231" ca="1">_FV(G231,"Población")</f>
        <v>1412175000</v>
      </c>
    </row>
    <row r="232" spans="1:8" x14ac:dyDescent="0.35">
      <c r="A232" t="s">
        <v>313</v>
      </c>
      <c r="B232" t="s">
        <v>81</v>
      </c>
      <c r="C232" t="s">
        <v>604</v>
      </c>
      <c r="D232" s="24">
        <v>45645</v>
      </c>
      <c r="E232" s="25">
        <f t="shared" ca="1" si="3"/>
        <v>320</v>
      </c>
      <c r="F232" s="22">
        <v>1460</v>
      </c>
      <c r="G232" t="e" vm="4">
        <v>#VALUE!</v>
      </c>
      <c r="H232" cm="1" vm="5">
        <f t="array" aca="1" ref="H232" ca="1">_FV(G232,"Población")</f>
        <v>1412175000</v>
      </c>
    </row>
    <row r="233" spans="1:8" x14ac:dyDescent="0.35">
      <c r="A233" t="s">
        <v>314</v>
      </c>
      <c r="B233" t="s">
        <v>110</v>
      </c>
      <c r="C233" t="s">
        <v>496</v>
      </c>
      <c r="D233" s="24">
        <v>45622</v>
      </c>
      <c r="E233" s="25">
        <f t="shared" ca="1" si="3"/>
        <v>343</v>
      </c>
      <c r="F233" s="22">
        <v>6454</v>
      </c>
      <c r="G233" t="e" vm="2">
        <v>#VALUE!</v>
      </c>
      <c r="H233" cm="1" vm="3">
        <f t="array" aca="1" ref="H233" ca="1">_FV(G233,"Población")</f>
        <v>215313498</v>
      </c>
    </row>
    <row r="234" spans="1:8" x14ac:dyDescent="0.35">
      <c r="A234" t="s">
        <v>315</v>
      </c>
      <c r="B234" t="s">
        <v>110</v>
      </c>
      <c r="C234" t="s">
        <v>497</v>
      </c>
      <c r="D234" s="24">
        <v>45621</v>
      </c>
      <c r="E234" s="25">
        <f t="shared" ca="1" si="3"/>
        <v>344</v>
      </c>
      <c r="F234" s="22">
        <v>13309</v>
      </c>
      <c r="G234" t="e" vm="2">
        <v>#VALUE!</v>
      </c>
      <c r="H234" cm="1" vm="3">
        <f t="array" aca="1" ref="H234" ca="1">_FV(G234,"Población")</f>
        <v>215313498</v>
      </c>
    </row>
    <row r="235" spans="1:8" x14ac:dyDescent="0.35">
      <c r="A235" t="s">
        <v>316</v>
      </c>
      <c r="B235" t="s">
        <v>305</v>
      </c>
      <c r="C235" t="s">
        <v>605</v>
      </c>
      <c r="D235" s="24">
        <v>45682</v>
      </c>
      <c r="E235" s="25">
        <f t="shared" ca="1" si="3"/>
        <v>283</v>
      </c>
      <c r="F235" s="22">
        <v>16444</v>
      </c>
      <c r="G235" t="e" vm="4">
        <v>#VALUE!</v>
      </c>
      <c r="H235" cm="1" vm="5">
        <f t="array" aca="1" ref="H235" ca="1">_FV(G235,"Población")</f>
        <v>1412175000</v>
      </c>
    </row>
    <row r="236" spans="1:8" x14ac:dyDescent="0.35">
      <c r="A236" t="s">
        <v>317</v>
      </c>
      <c r="B236" t="s">
        <v>110</v>
      </c>
      <c r="C236" t="s">
        <v>715</v>
      </c>
      <c r="D236" s="24">
        <v>45629</v>
      </c>
      <c r="E236" s="25">
        <f t="shared" ca="1" si="3"/>
        <v>336</v>
      </c>
      <c r="F236" s="22">
        <v>8778</v>
      </c>
      <c r="G236" t="e" vm="6">
        <v>#VALUE!</v>
      </c>
      <c r="H236" cm="1" vm="7">
        <f t="array" aca="1" ref="H236" ca="1">_FV(G236,"Población")</f>
        <v>46234830</v>
      </c>
    </row>
    <row r="237" spans="1:8" x14ac:dyDescent="0.35">
      <c r="A237" t="s">
        <v>318</v>
      </c>
      <c r="B237" t="s">
        <v>305</v>
      </c>
      <c r="C237" t="s">
        <v>498</v>
      </c>
      <c r="D237" s="24">
        <v>45682</v>
      </c>
      <c r="E237" s="25">
        <f t="shared" ca="1" si="3"/>
        <v>283</v>
      </c>
      <c r="F237" s="22">
        <v>6182</v>
      </c>
      <c r="G237" t="e" vm="2">
        <v>#VALUE!</v>
      </c>
      <c r="H237" cm="1" vm="3">
        <f t="array" aca="1" ref="H237" ca="1">_FV(G237,"Población")</f>
        <v>215313498</v>
      </c>
    </row>
    <row r="238" spans="1:8" x14ac:dyDescent="0.35">
      <c r="A238" t="s">
        <v>319</v>
      </c>
      <c r="B238" t="s">
        <v>127</v>
      </c>
      <c r="C238" t="s">
        <v>606</v>
      </c>
      <c r="D238" s="24">
        <v>45617</v>
      </c>
      <c r="E238" s="25">
        <f t="shared" ca="1" si="3"/>
        <v>348</v>
      </c>
      <c r="F238" s="22">
        <v>8306</v>
      </c>
      <c r="G238" t="e" vm="4">
        <v>#VALUE!</v>
      </c>
      <c r="H238" cm="1" vm="5">
        <f t="array" aca="1" ref="H238" ca="1">_FV(G238,"Población")</f>
        <v>1412175000</v>
      </c>
    </row>
    <row r="239" spans="1:8" x14ac:dyDescent="0.35">
      <c r="A239" t="s">
        <v>320</v>
      </c>
      <c r="B239" t="s">
        <v>127</v>
      </c>
      <c r="C239" t="s">
        <v>607</v>
      </c>
      <c r="D239" s="24">
        <v>45650</v>
      </c>
      <c r="E239" s="25">
        <f t="shared" ca="1" si="3"/>
        <v>315</v>
      </c>
      <c r="F239" s="22">
        <v>4198</v>
      </c>
      <c r="G239" t="e" vm="4">
        <v>#VALUE!</v>
      </c>
      <c r="H239" cm="1" vm="5">
        <f t="array" aca="1" ref="H239" ca="1">_FV(G239,"Población")</f>
        <v>1412175000</v>
      </c>
    </row>
    <row r="240" spans="1:8" x14ac:dyDescent="0.35">
      <c r="A240" t="s">
        <v>321</v>
      </c>
      <c r="B240" t="s">
        <v>350</v>
      </c>
      <c r="C240" t="s">
        <v>716</v>
      </c>
      <c r="D240" s="24">
        <v>45639</v>
      </c>
      <c r="E240" s="25">
        <f t="shared" ca="1" si="3"/>
        <v>326</v>
      </c>
      <c r="F240" s="22">
        <v>10209</v>
      </c>
      <c r="G240" t="e" vm="6">
        <v>#VALUE!</v>
      </c>
      <c r="H240" cm="1" vm="7">
        <f t="array" aca="1" ref="H240" ca="1">_FV(G240,"Población")</f>
        <v>46234830</v>
      </c>
    </row>
    <row r="241" spans="1:8" x14ac:dyDescent="0.35">
      <c r="A241" t="s">
        <v>322</v>
      </c>
      <c r="B241" t="s">
        <v>350</v>
      </c>
      <c r="C241" t="s">
        <v>499</v>
      </c>
      <c r="D241" s="24">
        <v>45685</v>
      </c>
      <c r="E241" s="25">
        <f t="shared" ca="1" si="3"/>
        <v>280</v>
      </c>
      <c r="F241" s="22">
        <v>19334</v>
      </c>
      <c r="G241" t="e" vm="2">
        <v>#VALUE!</v>
      </c>
      <c r="H241" cm="1" vm="3">
        <f t="array" aca="1" ref="H241" ca="1">_FV(G241,"Población")</f>
        <v>215313498</v>
      </c>
    </row>
    <row r="242" spans="1:8" x14ac:dyDescent="0.35">
      <c r="A242" t="s">
        <v>323</v>
      </c>
      <c r="B242" t="s">
        <v>305</v>
      </c>
      <c r="C242" t="s">
        <v>717</v>
      </c>
      <c r="D242" s="24">
        <v>45622</v>
      </c>
      <c r="E242" s="25">
        <f t="shared" ca="1" si="3"/>
        <v>343</v>
      </c>
      <c r="F242" s="22">
        <v>2264</v>
      </c>
      <c r="G242" t="e" vm="6">
        <v>#VALUE!</v>
      </c>
      <c r="H242" cm="1" vm="7">
        <f t="array" aca="1" ref="H242" ca="1">_FV(G242,"Población")</f>
        <v>46234830</v>
      </c>
    </row>
    <row r="243" spans="1:8" x14ac:dyDescent="0.35">
      <c r="A243" t="s">
        <v>324</v>
      </c>
      <c r="B243" t="s">
        <v>81</v>
      </c>
      <c r="C243" t="s">
        <v>608</v>
      </c>
      <c r="D243" s="24">
        <v>45607</v>
      </c>
      <c r="E243" s="25">
        <f t="shared" ca="1" si="3"/>
        <v>358</v>
      </c>
      <c r="F243" s="22">
        <v>8211</v>
      </c>
      <c r="G243" t="e" vm="4">
        <v>#VALUE!</v>
      </c>
      <c r="H243" cm="1" vm="5">
        <f t="array" aca="1" ref="H243" ca="1">_FV(G243,"Población")</f>
        <v>1412175000</v>
      </c>
    </row>
    <row r="244" spans="1:8" x14ac:dyDescent="0.35">
      <c r="A244" t="s">
        <v>325</v>
      </c>
      <c r="B244" t="s">
        <v>305</v>
      </c>
      <c r="C244" t="s">
        <v>500</v>
      </c>
      <c r="D244" s="24">
        <v>45653</v>
      </c>
      <c r="E244" s="25">
        <f t="shared" ca="1" si="3"/>
        <v>312</v>
      </c>
      <c r="F244" s="22">
        <v>7100</v>
      </c>
      <c r="G244" t="e" vm="2">
        <v>#VALUE!</v>
      </c>
      <c r="H244" cm="1" vm="3">
        <f t="array" aca="1" ref="H244" ca="1">_FV(G244,"Población")</f>
        <v>215313498</v>
      </c>
    </row>
    <row r="245" spans="1:8" x14ac:dyDescent="0.35">
      <c r="A245" t="s">
        <v>326</v>
      </c>
      <c r="B245" t="s">
        <v>350</v>
      </c>
      <c r="C245" t="s">
        <v>609</v>
      </c>
      <c r="D245" s="24">
        <v>45631</v>
      </c>
      <c r="E245" s="25">
        <f t="shared" ca="1" si="3"/>
        <v>334</v>
      </c>
      <c r="F245" s="22">
        <v>11363</v>
      </c>
      <c r="G245" t="e" vm="4">
        <v>#VALUE!</v>
      </c>
      <c r="H245" cm="1" vm="5">
        <f t="array" aca="1" ref="H245" ca="1">_FV(G245,"Población")</f>
        <v>1412175000</v>
      </c>
    </row>
    <row r="246" spans="1:8" x14ac:dyDescent="0.35">
      <c r="A246" t="s">
        <v>327</v>
      </c>
      <c r="B246" t="s">
        <v>110</v>
      </c>
      <c r="C246" t="s">
        <v>610</v>
      </c>
      <c r="D246" s="24">
        <v>45662</v>
      </c>
      <c r="E246" s="25">
        <f t="shared" ca="1" si="3"/>
        <v>303</v>
      </c>
      <c r="F246" s="22">
        <v>11234</v>
      </c>
      <c r="G246" t="e" vm="4">
        <v>#VALUE!</v>
      </c>
      <c r="H246" cm="1" vm="5">
        <f t="array" aca="1" ref="H246" ca="1">_FV(G246,"Población")</f>
        <v>1412175000</v>
      </c>
    </row>
    <row r="247" spans="1:8" x14ac:dyDescent="0.35">
      <c r="A247" t="s">
        <v>328</v>
      </c>
      <c r="B247" t="s">
        <v>305</v>
      </c>
      <c r="C247" t="s">
        <v>611</v>
      </c>
      <c r="D247" s="24">
        <v>45674</v>
      </c>
      <c r="E247" s="25">
        <f t="shared" ca="1" si="3"/>
        <v>291</v>
      </c>
      <c r="F247" s="22">
        <v>3581</v>
      </c>
      <c r="G247" t="e" vm="4">
        <v>#VALUE!</v>
      </c>
      <c r="H247" cm="1" vm="5">
        <f t="array" aca="1" ref="H247" ca="1">_FV(G247,"Población")</f>
        <v>1412175000</v>
      </c>
    </row>
    <row r="248" spans="1:8" x14ac:dyDescent="0.35">
      <c r="A248" t="s">
        <v>329</v>
      </c>
      <c r="B248" t="s">
        <v>350</v>
      </c>
      <c r="C248" t="s">
        <v>612</v>
      </c>
      <c r="D248" s="24">
        <v>45604</v>
      </c>
      <c r="E248" s="25">
        <f t="shared" ca="1" si="3"/>
        <v>361</v>
      </c>
      <c r="F248" s="22">
        <v>13961</v>
      </c>
      <c r="G248" t="e" vm="4">
        <v>#VALUE!</v>
      </c>
      <c r="H248" cm="1" vm="5">
        <f t="array" aca="1" ref="H248" ca="1">_FV(G248,"Población")</f>
        <v>1412175000</v>
      </c>
    </row>
    <row r="249" spans="1:8" x14ac:dyDescent="0.35">
      <c r="A249" t="s">
        <v>330</v>
      </c>
      <c r="B249" t="s">
        <v>361</v>
      </c>
      <c r="C249" t="s">
        <v>501</v>
      </c>
      <c r="D249" s="24">
        <v>45643</v>
      </c>
      <c r="E249" s="25">
        <f t="shared" ca="1" si="3"/>
        <v>322</v>
      </c>
      <c r="F249" s="22">
        <v>13046</v>
      </c>
      <c r="G249" t="e" vm="2">
        <v>#VALUE!</v>
      </c>
      <c r="H249" cm="1" vm="3">
        <f t="array" aca="1" ref="H249" ca="1">_FV(G249,"Población")</f>
        <v>215313498</v>
      </c>
    </row>
    <row r="250" spans="1:8" x14ac:dyDescent="0.35">
      <c r="A250" t="s">
        <v>331</v>
      </c>
      <c r="B250" t="s">
        <v>305</v>
      </c>
      <c r="C250" t="s">
        <v>502</v>
      </c>
      <c r="D250" s="24">
        <v>45686</v>
      </c>
      <c r="E250" s="25">
        <f t="shared" ca="1" si="3"/>
        <v>279</v>
      </c>
      <c r="F250" s="22">
        <v>16251</v>
      </c>
      <c r="G250" t="e" vm="2">
        <v>#VALUE!</v>
      </c>
      <c r="H250" cm="1" vm="3">
        <f t="array" aca="1" ref="H250" ca="1">_FV(G250,"Población")</f>
        <v>215313498</v>
      </c>
    </row>
    <row r="251" spans="1:8" x14ac:dyDescent="0.35">
      <c r="A251" t="s">
        <v>332</v>
      </c>
      <c r="B251" t="s">
        <v>110</v>
      </c>
      <c r="C251" t="s">
        <v>503</v>
      </c>
      <c r="D251" s="24">
        <v>45609</v>
      </c>
      <c r="E251" s="25">
        <f t="shared" ca="1" si="3"/>
        <v>356</v>
      </c>
      <c r="F251" s="22">
        <v>11325</v>
      </c>
      <c r="G251" t="e" vm="2">
        <v>#VALUE!</v>
      </c>
      <c r="H251" cm="1" vm="3">
        <f t="array" aca="1" ref="H251" ca="1">_FV(G251,"Población")</f>
        <v>215313498</v>
      </c>
    </row>
    <row r="252" spans="1:8" x14ac:dyDescent="0.35">
      <c r="A252" t="s">
        <v>333</v>
      </c>
      <c r="B252" t="s">
        <v>110</v>
      </c>
      <c r="C252" t="s">
        <v>504</v>
      </c>
      <c r="D252" s="24">
        <v>45621</v>
      </c>
      <c r="E252" s="25">
        <f t="shared" ca="1" si="3"/>
        <v>344</v>
      </c>
      <c r="F252" s="22">
        <v>16792</v>
      </c>
      <c r="G252" t="e" vm="2">
        <v>#VALUE!</v>
      </c>
      <c r="H252" cm="1" vm="3">
        <f t="array" aca="1" ref="H252" ca="1">_FV(G252,"Población")</f>
        <v>215313498</v>
      </c>
    </row>
    <row r="253" spans="1:8" x14ac:dyDescent="0.35">
      <c r="A253" t="s">
        <v>334</v>
      </c>
      <c r="B253" t="s">
        <v>127</v>
      </c>
      <c r="C253" t="s">
        <v>613</v>
      </c>
      <c r="D253" s="24">
        <v>45666</v>
      </c>
      <c r="E253" s="25">
        <f t="shared" ca="1" si="3"/>
        <v>299</v>
      </c>
      <c r="F253" s="22">
        <v>3932</v>
      </c>
      <c r="G253" t="e" vm="4">
        <v>#VALUE!</v>
      </c>
      <c r="H253" cm="1" vm="5">
        <f t="array" aca="1" ref="H253" ca="1">_FV(G253,"Población")</f>
        <v>1412175000</v>
      </c>
    </row>
    <row r="254" spans="1:8" x14ac:dyDescent="0.35">
      <c r="A254" t="s">
        <v>335</v>
      </c>
      <c r="B254" t="s">
        <v>127</v>
      </c>
      <c r="C254" t="s">
        <v>505</v>
      </c>
      <c r="D254" s="24">
        <v>45664</v>
      </c>
      <c r="E254" s="25">
        <f t="shared" ca="1" si="3"/>
        <v>301</v>
      </c>
      <c r="F254" s="22">
        <v>2455</v>
      </c>
      <c r="G254" t="e" vm="2">
        <v>#VALUE!</v>
      </c>
      <c r="H254" cm="1" vm="3">
        <f t="array" aca="1" ref="H254" ca="1">_FV(G254,"Población")</f>
        <v>215313498</v>
      </c>
    </row>
    <row r="255" spans="1:8" x14ac:dyDescent="0.35">
      <c r="A255" t="s">
        <v>336</v>
      </c>
      <c r="B255" t="s">
        <v>81</v>
      </c>
      <c r="C255" t="s">
        <v>718</v>
      </c>
      <c r="D255" s="24">
        <v>45610</v>
      </c>
      <c r="E255" s="25">
        <f t="shared" ca="1" si="3"/>
        <v>355</v>
      </c>
      <c r="F255" s="22">
        <v>17019</v>
      </c>
      <c r="G255" t="e" vm="6">
        <v>#VALUE!</v>
      </c>
      <c r="H255" cm="1" vm="7">
        <f t="array" aca="1" ref="H255" ca="1">_FV(G255,"Población")</f>
        <v>46234830</v>
      </c>
    </row>
    <row r="256" spans="1:8" x14ac:dyDescent="0.35">
      <c r="A256" t="s">
        <v>337</v>
      </c>
      <c r="B256" t="s">
        <v>127</v>
      </c>
      <c r="C256" t="s">
        <v>506</v>
      </c>
      <c r="D256" s="24">
        <v>45687</v>
      </c>
      <c r="E256" s="25">
        <f t="shared" ca="1" si="3"/>
        <v>278</v>
      </c>
      <c r="F256" s="22">
        <v>17263</v>
      </c>
      <c r="G256" t="e" vm="2">
        <v>#VALUE!</v>
      </c>
      <c r="H256" cm="1" vm="3">
        <f t="array" aca="1" ref="H256" ca="1">_FV(G256,"Población")</f>
        <v>215313498</v>
      </c>
    </row>
    <row r="257" spans="1:8" x14ac:dyDescent="0.35">
      <c r="A257" t="s">
        <v>338</v>
      </c>
      <c r="B257" t="s">
        <v>361</v>
      </c>
      <c r="C257" t="s">
        <v>719</v>
      </c>
      <c r="D257" s="24">
        <v>45681</v>
      </c>
      <c r="E257" s="25">
        <f t="shared" ca="1" si="3"/>
        <v>284</v>
      </c>
      <c r="F257" s="22">
        <v>16448</v>
      </c>
      <c r="G257" t="e" vm="6">
        <v>#VALUE!</v>
      </c>
      <c r="H257" cm="1" vm="7">
        <f t="array" aca="1" ref="H257" ca="1">_FV(G257,"Población")</f>
        <v>46234830</v>
      </c>
    </row>
    <row r="258" spans="1:8" x14ac:dyDescent="0.35">
      <c r="A258" t="s">
        <v>339</v>
      </c>
      <c r="B258" t="s">
        <v>425</v>
      </c>
      <c r="C258" t="s">
        <v>507</v>
      </c>
      <c r="D258" s="24">
        <v>45631</v>
      </c>
      <c r="E258" s="25">
        <f t="shared" ca="1" si="3"/>
        <v>334</v>
      </c>
      <c r="F258" s="22">
        <v>14743</v>
      </c>
      <c r="G258" t="e" vm="2">
        <v>#VALUE!</v>
      </c>
      <c r="H258" cm="1" vm="3">
        <f t="array" aca="1" ref="H258" ca="1">_FV(G258,"Población")</f>
        <v>215313498</v>
      </c>
    </row>
    <row r="259" spans="1:8" x14ac:dyDescent="0.35">
      <c r="A259" t="s">
        <v>340</v>
      </c>
      <c r="B259" t="s">
        <v>110</v>
      </c>
      <c r="C259" t="s">
        <v>508</v>
      </c>
      <c r="D259" s="24">
        <v>45599</v>
      </c>
      <c r="E259" s="25">
        <f t="shared" ref="E259:E322" ca="1" si="4">TODAY()-D259</f>
        <v>366</v>
      </c>
      <c r="F259" s="22">
        <v>4909</v>
      </c>
      <c r="G259" t="e" vm="2">
        <v>#VALUE!</v>
      </c>
      <c r="H259" cm="1" vm="3">
        <f t="array" aca="1" ref="H259" ca="1">_FV(G259,"Población")</f>
        <v>215313498</v>
      </c>
    </row>
    <row r="260" spans="1:8" x14ac:dyDescent="0.35">
      <c r="A260" t="s">
        <v>341</v>
      </c>
      <c r="B260" t="s">
        <v>425</v>
      </c>
      <c r="C260" t="s">
        <v>509</v>
      </c>
      <c r="D260" s="24">
        <v>45621</v>
      </c>
      <c r="E260" s="25">
        <f t="shared" ca="1" si="4"/>
        <v>344</v>
      </c>
      <c r="F260" s="22">
        <v>11112</v>
      </c>
      <c r="G260" t="e" vm="2">
        <v>#VALUE!</v>
      </c>
      <c r="H260" cm="1" vm="3">
        <f t="array" aca="1" ref="H260" ca="1">_FV(G260,"Población")</f>
        <v>215313498</v>
      </c>
    </row>
    <row r="261" spans="1:8" x14ac:dyDescent="0.35">
      <c r="A261" t="s">
        <v>342</v>
      </c>
      <c r="B261" t="s">
        <v>81</v>
      </c>
      <c r="C261" t="s">
        <v>510</v>
      </c>
      <c r="D261" s="24">
        <v>45636</v>
      </c>
      <c r="E261" s="25">
        <f t="shared" ca="1" si="4"/>
        <v>329</v>
      </c>
      <c r="F261" s="22">
        <v>4305</v>
      </c>
      <c r="G261" t="e" vm="2">
        <v>#VALUE!</v>
      </c>
      <c r="H261" cm="1" vm="3">
        <f t="array" aca="1" ref="H261" ca="1">_FV(G261,"Población")</f>
        <v>215313498</v>
      </c>
    </row>
    <row r="262" spans="1:8" x14ac:dyDescent="0.35">
      <c r="A262" t="s">
        <v>343</v>
      </c>
      <c r="B262" t="s">
        <v>110</v>
      </c>
      <c r="C262" t="s">
        <v>614</v>
      </c>
      <c r="D262" s="24">
        <v>45640</v>
      </c>
      <c r="E262" s="25">
        <f t="shared" ca="1" si="4"/>
        <v>325</v>
      </c>
      <c r="F262" s="22">
        <v>18114</v>
      </c>
      <c r="G262" t="e" vm="4">
        <v>#VALUE!</v>
      </c>
      <c r="H262" cm="1" vm="5">
        <f t="array" aca="1" ref="H262" ca="1">_FV(G262,"Población")</f>
        <v>1412175000</v>
      </c>
    </row>
    <row r="263" spans="1:8" x14ac:dyDescent="0.35">
      <c r="A263" t="s">
        <v>344</v>
      </c>
      <c r="B263" t="s">
        <v>305</v>
      </c>
      <c r="C263" t="s">
        <v>720</v>
      </c>
      <c r="D263" s="24">
        <v>45683</v>
      </c>
      <c r="E263" s="25">
        <f t="shared" ca="1" si="4"/>
        <v>282</v>
      </c>
      <c r="F263" s="22">
        <v>2847</v>
      </c>
      <c r="G263" t="e" vm="6">
        <v>#VALUE!</v>
      </c>
      <c r="H263" cm="1" vm="7">
        <f t="array" aca="1" ref="H263" ca="1">_FV(G263,"Población")</f>
        <v>46234830</v>
      </c>
    </row>
    <row r="264" spans="1:8" x14ac:dyDescent="0.35">
      <c r="A264" t="s">
        <v>345</v>
      </c>
      <c r="B264" t="s">
        <v>110</v>
      </c>
      <c r="C264" t="s">
        <v>721</v>
      </c>
      <c r="D264" s="24">
        <v>45621</v>
      </c>
      <c r="E264" s="25">
        <f t="shared" ca="1" si="4"/>
        <v>344</v>
      </c>
      <c r="F264" s="22">
        <v>5832</v>
      </c>
      <c r="G264" t="e" vm="6">
        <v>#VALUE!</v>
      </c>
      <c r="H264" cm="1" vm="7">
        <f t="array" aca="1" ref="H264" ca="1">_FV(G264,"Población")</f>
        <v>46234830</v>
      </c>
    </row>
    <row r="265" spans="1:8" x14ac:dyDescent="0.35">
      <c r="A265" t="s">
        <v>346</v>
      </c>
      <c r="B265" t="s">
        <v>350</v>
      </c>
      <c r="C265" t="s">
        <v>722</v>
      </c>
      <c r="D265" s="24">
        <v>45625</v>
      </c>
      <c r="E265" s="25">
        <f t="shared" ca="1" si="4"/>
        <v>340</v>
      </c>
      <c r="F265" s="22">
        <v>8181</v>
      </c>
      <c r="G265" t="e" vm="6">
        <v>#VALUE!</v>
      </c>
      <c r="H265" cm="1" vm="7">
        <f t="array" aca="1" ref="H265" ca="1">_FV(G265,"Población")</f>
        <v>46234830</v>
      </c>
    </row>
    <row r="266" spans="1:8" x14ac:dyDescent="0.35">
      <c r="A266" t="s">
        <v>347</v>
      </c>
      <c r="B266" t="s">
        <v>110</v>
      </c>
      <c r="C266" t="s">
        <v>723</v>
      </c>
      <c r="D266" s="24">
        <v>45668</v>
      </c>
      <c r="E266" s="25">
        <f t="shared" ca="1" si="4"/>
        <v>297</v>
      </c>
      <c r="F266" s="22">
        <v>7917</v>
      </c>
      <c r="G266" t="e" vm="6">
        <v>#VALUE!</v>
      </c>
      <c r="H266" cm="1" vm="7">
        <f t="array" aca="1" ref="H266" ca="1">_FV(G266,"Población")</f>
        <v>46234830</v>
      </c>
    </row>
    <row r="267" spans="1:8" x14ac:dyDescent="0.35">
      <c r="A267" t="s">
        <v>348</v>
      </c>
      <c r="B267" t="s">
        <v>425</v>
      </c>
      <c r="C267" t="s">
        <v>511</v>
      </c>
      <c r="D267" s="24">
        <v>45647</v>
      </c>
      <c r="E267" s="25">
        <f t="shared" ca="1" si="4"/>
        <v>318</v>
      </c>
      <c r="F267" s="22">
        <v>13125</v>
      </c>
      <c r="G267" t="e" vm="2">
        <v>#VALUE!</v>
      </c>
      <c r="H267" cm="1" vm="3">
        <f t="array" aca="1" ref="H267" ca="1">_FV(G267,"Población")</f>
        <v>215313498</v>
      </c>
    </row>
    <row r="268" spans="1:8" x14ac:dyDescent="0.35">
      <c r="A268" t="s">
        <v>349</v>
      </c>
      <c r="B268" t="s">
        <v>81</v>
      </c>
      <c r="C268" t="s">
        <v>512</v>
      </c>
      <c r="D268" s="24">
        <v>45677</v>
      </c>
      <c r="E268" s="25">
        <f t="shared" ca="1" si="4"/>
        <v>288</v>
      </c>
      <c r="F268" s="22">
        <v>3063</v>
      </c>
      <c r="G268" t="e" vm="2">
        <v>#VALUE!</v>
      </c>
      <c r="H268" cm="1" vm="3">
        <f t="array" aca="1" ref="H268" ca="1">_FV(G268,"Población")</f>
        <v>215313498</v>
      </c>
    </row>
    <row r="269" spans="1:8" x14ac:dyDescent="0.35">
      <c r="A269" t="s">
        <v>351</v>
      </c>
      <c r="B269" t="s">
        <v>110</v>
      </c>
      <c r="C269" t="s">
        <v>724</v>
      </c>
      <c r="D269" s="24">
        <v>45627</v>
      </c>
      <c r="E269" s="25">
        <f t="shared" ca="1" si="4"/>
        <v>338</v>
      </c>
      <c r="F269" s="22">
        <v>3512</v>
      </c>
      <c r="G269" t="e" vm="6">
        <v>#VALUE!</v>
      </c>
      <c r="H269" cm="1" vm="7">
        <f t="array" aca="1" ref="H269" ca="1">_FV(G269,"Población")</f>
        <v>46234830</v>
      </c>
    </row>
    <row r="270" spans="1:8" x14ac:dyDescent="0.35">
      <c r="A270" t="s">
        <v>352</v>
      </c>
      <c r="B270" t="s">
        <v>81</v>
      </c>
      <c r="C270" t="s">
        <v>725</v>
      </c>
      <c r="D270" s="24">
        <v>45659</v>
      </c>
      <c r="E270" s="25">
        <f t="shared" ca="1" si="4"/>
        <v>306</v>
      </c>
      <c r="F270" s="22">
        <v>17207</v>
      </c>
      <c r="G270" t="e" vm="6">
        <v>#VALUE!</v>
      </c>
      <c r="H270" cm="1" vm="7">
        <f t="array" aca="1" ref="H270" ca="1">_FV(G270,"Población")</f>
        <v>46234830</v>
      </c>
    </row>
    <row r="271" spans="1:8" x14ac:dyDescent="0.35">
      <c r="A271" t="s">
        <v>353</v>
      </c>
      <c r="B271" t="s">
        <v>425</v>
      </c>
      <c r="C271" t="s">
        <v>615</v>
      </c>
      <c r="D271" s="24">
        <v>45651</v>
      </c>
      <c r="E271" s="25">
        <f t="shared" ca="1" si="4"/>
        <v>314</v>
      </c>
      <c r="F271" s="22">
        <v>3978</v>
      </c>
      <c r="G271" t="e" vm="4">
        <v>#VALUE!</v>
      </c>
      <c r="H271" cm="1" vm="5">
        <f t="array" aca="1" ref="H271" ca="1">_FV(G271,"Población")</f>
        <v>1412175000</v>
      </c>
    </row>
    <row r="272" spans="1:8" x14ac:dyDescent="0.35">
      <c r="A272" t="s">
        <v>354</v>
      </c>
      <c r="B272" t="s">
        <v>110</v>
      </c>
      <c r="C272" t="s">
        <v>616</v>
      </c>
      <c r="D272" s="24">
        <v>45683</v>
      </c>
      <c r="E272" s="25">
        <f t="shared" ca="1" si="4"/>
        <v>282</v>
      </c>
      <c r="F272" s="22">
        <v>2325</v>
      </c>
      <c r="G272" t="e" vm="4">
        <v>#VALUE!</v>
      </c>
      <c r="H272" cm="1" vm="5">
        <f t="array" aca="1" ref="H272" ca="1">_FV(G272,"Población")</f>
        <v>1412175000</v>
      </c>
    </row>
    <row r="273" spans="1:8" x14ac:dyDescent="0.35">
      <c r="A273" t="s">
        <v>355</v>
      </c>
      <c r="B273" t="s">
        <v>425</v>
      </c>
      <c r="C273" t="s">
        <v>726</v>
      </c>
      <c r="D273" s="24">
        <v>45605</v>
      </c>
      <c r="E273" s="25">
        <f t="shared" ca="1" si="4"/>
        <v>360</v>
      </c>
      <c r="F273" s="22">
        <v>10022</v>
      </c>
      <c r="G273" t="e" vm="6">
        <v>#VALUE!</v>
      </c>
      <c r="H273" cm="1" vm="7">
        <f t="array" aca="1" ref="H273" ca="1">_FV(G273,"Población")</f>
        <v>46234830</v>
      </c>
    </row>
    <row r="274" spans="1:8" x14ac:dyDescent="0.35">
      <c r="A274" t="s">
        <v>356</v>
      </c>
      <c r="B274" t="s">
        <v>361</v>
      </c>
      <c r="C274" t="s">
        <v>617</v>
      </c>
      <c r="D274" s="24">
        <v>45665</v>
      </c>
      <c r="E274" s="25">
        <f t="shared" ca="1" si="4"/>
        <v>300</v>
      </c>
      <c r="F274" s="22">
        <v>14535</v>
      </c>
      <c r="G274" t="e" vm="4">
        <v>#VALUE!</v>
      </c>
      <c r="H274" cm="1" vm="5">
        <f t="array" aca="1" ref="H274" ca="1">_FV(G274,"Población")</f>
        <v>1412175000</v>
      </c>
    </row>
    <row r="275" spans="1:8" x14ac:dyDescent="0.35">
      <c r="A275" t="s">
        <v>357</v>
      </c>
      <c r="B275" t="s">
        <v>305</v>
      </c>
      <c r="C275" t="s">
        <v>727</v>
      </c>
      <c r="D275" s="24">
        <v>45659</v>
      </c>
      <c r="E275" s="25">
        <f t="shared" ca="1" si="4"/>
        <v>306</v>
      </c>
      <c r="F275" s="22">
        <v>8991</v>
      </c>
      <c r="G275" t="e" vm="6">
        <v>#VALUE!</v>
      </c>
      <c r="H275" cm="1" vm="7">
        <f t="array" aca="1" ref="H275" ca="1">_FV(G275,"Población")</f>
        <v>46234830</v>
      </c>
    </row>
    <row r="276" spans="1:8" x14ac:dyDescent="0.35">
      <c r="A276" t="s">
        <v>358</v>
      </c>
      <c r="B276" t="s">
        <v>127</v>
      </c>
      <c r="C276" t="s">
        <v>513</v>
      </c>
      <c r="D276" s="24">
        <v>45651</v>
      </c>
      <c r="E276" s="25">
        <f t="shared" ca="1" si="4"/>
        <v>314</v>
      </c>
      <c r="F276" s="22">
        <v>7126</v>
      </c>
      <c r="G276" t="e" vm="2">
        <v>#VALUE!</v>
      </c>
      <c r="H276" cm="1" vm="3">
        <f t="array" aca="1" ref="H276" ca="1">_FV(G276,"Población")</f>
        <v>215313498</v>
      </c>
    </row>
    <row r="277" spans="1:8" x14ac:dyDescent="0.35">
      <c r="A277" t="s">
        <v>359</v>
      </c>
      <c r="B277" t="s">
        <v>305</v>
      </c>
      <c r="C277" t="s">
        <v>514</v>
      </c>
      <c r="D277" s="24">
        <v>45615</v>
      </c>
      <c r="E277" s="25">
        <f t="shared" ca="1" si="4"/>
        <v>350</v>
      </c>
      <c r="F277" s="22">
        <v>3725</v>
      </c>
      <c r="G277" t="e" vm="2">
        <v>#VALUE!</v>
      </c>
      <c r="H277" cm="1" vm="3">
        <f t="array" aca="1" ref="H277" ca="1">_FV(G277,"Población")</f>
        <v>215313498</v>
      </c>
    </row>
    <row r="278" spans="1:8" x14ac:dyDescent="0.35">
      <c r="A278" t="s">
        <v>360</v>
      </c>
      <c r="B278" t="s">
        <v>425</v>
      </c>
      <c r="C278" t="s">
        <v>618</v>
      </c>
      <c r="D278" s="24">
        <v>45687</v>
      </c>
      <c r="E278" s="25">
        <f t="shared" ca="1" si="4"/>
        <v>278</v>
      </c>
      <c r="F278" s="22">
        <v>17623</v>
      </c>
      <c r="G278" t="e" vm="4">
        <v>#VALUE!</v>
      </c>
      <c r="H278" cm="1" vm="5">
        <f t="array" aca="1" ref="H278" ca="1">_FV(G278,"Población")</f>
        <v>1412175000</v>
      </c>
    </row>
    <row r="279" spans="1:8" x14ac:dyDescent="0.35">
      <c r="A279" t="s">
        <v>362</v>
      </c>
      <c r="B279" t="s">
        <v>305</v>
      </c>
      <c r="C279" t="s">
        <v>728</v>
      </c>
      <c r="D279" s="24">
        <v>45672</v>
      </c>
      <c r="E279" s="25">
        <f t="shared" ca="1" si="4"/>
        <v>293</v>
      </c>
      <c r="F279" s="22">
        <v>14648</v>
      </c>
      <c r="G279" t="e" vm="6">
        <v>#VALUE!</v>
      </c>
      <c r="H279" cm="1" vm="7">
        <f t="array" aca="1" ref="H279" ca="1">_FV(G279,"Población")</f>
        <v>46234830</v>
      </c>
    </row>
    <row r="280" spans="1:8" x14ac:dyDescent="0.35">
      <c r="A280" t="s">
        <v>363</v>
      </c>
      <c r="B280" t="s">
        <v>110</v>
      </c>
      <c r="C280" t="s">
        <v>515</v>
      </c>
      <c r="D280" s="24">
        <v>45629</v>
      </c>
      <c r="E280" s="25">
        <f t="shared" ca="1" si="4"/>
        <v>336</v>
      </c>
      <c r="F280" s="22">
        <v>15490</v>
      </c>
      <c r="G280" t="e" vm="2">
        <v>#VALUE!</v>
      </c>
      <c r="H280" cm="1" vm="3">
        <f t="array" aca="1" ref="H280" ca="1">_FV(G280,"Población")</f>
        <v>215313498</v>
      </c>
    </row>
    <row r="281" spans="1:8" x14ac:dyDescent="0.35">
      <c r="A281" t="s">
        <v>364</v>
      </c>
      <c r="B281" t="s">
        <v>110</v>
      </c>
      <c r="C281" t="s">
        <v>619</v>
      </c>
      <c r="D281" s="24">
        <v>45609</v>
      </c>
      <c r="E281" s="25">
        <f t="shared" ca="1" si="4"/>
        <v>356</v>
      </c>
      <c r="F281" s="22">
        <v>16712</v>
      </c>
      <c r="G281" t="e" vm="4">
        <v>#VALUE!</v>
      </c>
      <c r="H281" cm="1" vm="5">
        <f t="array" aca="1" ref="H281" ca="1">_FV(G281,"Población")</f>
        <v>1412175000</v>
      </c>
    </row>
    <row r="282" spans="1:8" x14ac:dyDescent="0.35">
      <c r="A282" t="s">
        <v>365</v>
      </c>
      <c r="B282" t="s">
        <v>350</v>
      </c>
      <c r="C282" t="s">
        <v>729</v>
      </c>
      <c r="D282" s="24">
        <v>45677</v>
      </c>
      <c r="E282" s="25">
        <f t="shared" ca="1" si="4"/>
        <v>288</v>
      </c>
      <c r="F282" s="22">
        <v>5865</v>
      </c>
      <c r="G282" t="e" vm="6">
        <v>#VALUE!</v>
      </c>
      <c r="H282" cm="1" vm="7">
        <f t="array" aca="1" ref="H282" ca="1">_FV(G282,"Población")</f>
        <v>46234830</v>
      </c>
    </row>
    <row r="283" spans="1:8" x14ac:dyDescent="0.35">
      <c r="A283" t="s">
        <v>366</v>
      </c>
      <c r="B283" t="s">
        <v>350</v>
      </c>
      <c r="C283" t="s">
        <v>516</v>
      </c>
      <c r="D283" s="24">
        <v>45603</v>
      </c>
      <c r="E283" s="25">
        <f t="shared" ca="1" si="4"/>
        <v>362</v>
      </c>
      <c r="F283" s="22">
        <v>12072</v>
      </c>
      <c r="G283" t="e" vm="2">
        <v>#VALUE!</v>
      </c>
      <c r="H283" cm="1" vm="3">
        <f t="array" aca="1" ref="H283" ca="1">_FV(G283,"Población")</f>
        <v>215313498</v>
      </c>
    </row>
    <row r="284" spans="1:8" x14ac:dyDescent="0.35">
      <c r="A284" t="s">
        <v>367</v>
      </c>
      <c r="B284" t="s">
        <v>81</v>
      </c>
      <c r="C284" t="s">
        <v>517</v>
      </c>
      <c r="D284" s="24">
        <v>45620</v>
      </c>
      <c r="E284" s="25">
        <f t="shared" ca="1" si="4"/>
        <v>345</v>
      </c>
      <c r="F284" s="22">
        <v>2512</v>
      </c>
      <c r="G284" t="e" vm="2">
        <v>#VALUE!</v>
      </c>
      <c r="H284" cm="1" vm="3">
        <f t="array" aca="1" ref="H284" ca="1">_FV(G284,"Población")</f>
        <v>215313498</v>
      </c>
    </row>
    <row r="285" spans="1:8" x14ac:dyDescent="0.35">
      <c r="A285" t="s">
        <v>368</v>
      </c>
      <c r="B285" t="s">
        <v>127</v>
      </c>
      <c r="C285" t="s">
        <v>518</v>
      </c>
      <c r="D285" s="24">
        <v>45611</v>
      </c>
      <c r="E285" s="25">
        <f t="shared" ca="1" si="4"/>
        <v>354</v>
      </c>
      <c r="F285" s="22">
        <v>19485</v>
      </c>
      <c r="G285" t="e" vm="2">
        <v>#VALUE!</v>
      </c>
      <c r="H285" cm="1" vm="3">
        <f t="array" aca="1" ref="H285" ca="1">_FV(G285,"Población")</f>
        <v>215313498</v>
      </c>
    </row>
    <row r="286" spans="1:8" x14ac:dyDescent="0.35">
      <c r="A286" t="s">
        <v>369</v>
      </c>
      <c r="B286" t="s">
        <v>81</v>
      </c>
      <c r="C286" t="s">
        <v>730</v>
      </c>
      <c r="D286" s="24">
        <v>45661</v>
      </c>
      <c r="E286" s="25">
        <f t="shared" ca="1" si="4"/>
        <v>304</v>
      </c>
      <c r="F286" s="22">
        <v>11974</v>
      </c>
      <c r="G286" t="e" vm="6">
        <v>#VALUE!</v>
      </c>
      <c r="H286" cm="1" vm="7">
        <f t="array" aca="1" ref="H286" ca="1">_FV(G286,"Población")</f>
        <v>46234830</v>
      </c>
    </row>
    <row r="287" spans="1:8" x14ac:dyDescent="0.35">
      <c r="A287" t="s">
        <v>370</v>
      </c>
      <c r="B287" t="s">
        <v>425</v>
      </c>
      <c r="C287" t="s">
        <v>620</v>
      </c>
      <c r="D287" s="24">
        <v>45645</v>
      </c>
      <c r="E287" s="25">
        <f t="shared" ca="1" si="4"/>
        <v>320</v>
      </c>
      <c r="F287" s="22">
        <v>1042</v>
      </c>
      <c r="G287" t="e" vm="4">
        <v>#VALUE!</v>
      </c>
      <c r="H287" cm="1" vm="5">
        <f t="array" aca="1" ref="H287" ca="1">_FV(G287,"Población")</f>
        <v>1412175000</v>
      </c>
    </row>
    <row r="288" spans="1:8" x14ac:dyDescent="0.35">
      <c r="A288" t="s">
        <v>371</v>
      </c>
      <c r="B288" t="s">
        <v>127</v>
      </c>
      <c r="C288" t="s">
        <v>519</v>
      </c>
      <c r="D288" s="24">
        <v>45623</v>
      </c>
      <c r="E288" s="25">
        <f t="shared" ca="1" si="4"/>
        <v>342</v>
      </c>
      <c r="F288" s="22">
        <v>14212</v>
      </c>
      <c r="G288" t="e" vm="2">
        <v>#VALUE!</v>
      </c>
      <c r="H288" cm="1" vm="3">
        <f t="array" aca="1" ref="H288" ca="1">_FV(G288,"Población")</f>
        <v>215313498</v>
      </c>
    </row>
    <row r="289" spans="1:8" x14ac:dyDescent="0.35">
      <c r="A289" t="s">
        <v>372</v>
      </c>
      <c r="B289" t="s">
        <v>425</v>
      </c>
      <c r="C289" t="s">
        <v>520</v>
      </c>
      <c r="D289" s="24">
        <v>45682</v>
      </c>
      <c r="E289" s="25">
        <f t="shared" ca="1" si="4"/>
        <v>283</v>
      </c>
      <c r="F289" s="22">
        <v>15798</v>
      </c>
      <c r="G289" t="e" vm="2">
        <v>#VALUE!</v>
      </c>
      <c r="H289" cm="1" vm="3">
        <f t="array" aca="1" ref="H289" ca="1">_FV(G289,"Población")</f>
        <v>215313498</v>
      </c>
    </row>
    <row r="290" spans="1:8" x14ac:dyDescent="0.35">
      <c r="A290" t="s">
        <v>373</v>
      </c>
      <c r="B290" t="s">
        <v>350</v>
      </c>
      <c r="C290" t="s">
        <v>731</v>
      </c>
      <c r="D290" s="24">
        <v>45663</v>
      </c>
      <c r="E290" s="25">
        <f t="shared" ca="1" si="4"/>
        <v>302</v>
      </c>
      <c r="F290" s="22">
        <v>2448</v>
      </c>
      <c r="G290" t="e" vm="6">
        <v>#VALUE!</v>
      </c>
      <c r="H290" cm="1" vm="7">
        <f t="array" aca="1" ref="H290" ca="1">_FV(G290,"Población")</f>
        <v>46234830</v>
      </c>
    </row>
    <row r="291" spans="1:8" x14ac:dyDescent="0.35">
      <c r="A291" t="s">
        <v>374</v>
      </c>
      <c r="B291" t="s">
        <v>425</v>
      </c>
      <c r="C291" t="s">
        <v>732</v>
      </c>
      <c r="D291" s="24">
        <v>45624</v>
      </c>
      <c r="E291" s="25">
        <f t="shared" ca="1" si="4"/>
        <v>341</v>
      </c>
      <c r="F291" s="22">
        <v>2633</v>
      </c>
      <c r="G291" t="e" vm="6">
        <v>#VALUE!</v>
      </c>
      <c r="H291" cm="1" vm="7">
        <f t="array" aca="1" ref="H291" ca="1">_FV(G291,"Población")</f>
        <v>46234830</v>
      </c>
    </row>
    <row r="292" spans="1:8" x14ac:dyDescent="0.35">
      <c r="A292" t="s">
        <v>375</v>
      </c>
      <c r="B292" t="s">
        <v>361</v>
      </c>
      <c r="C292" t="s">
        <v>621</v>
      </c>
      <c r="D292" s="24">
        <v>45664</v>
      </c>
      <c r="E292" s="25">
        <f t="shared" ca="1" si="4"/>
        <v>301</v>
      </c>
      <c r="F292" s="22">
        <v>10318</v>
      </c>
      <c r="G292" t="e" vm="4">
        <v>#VALUE!</v>
      </c>
      <c r="H292" cm="1" vm="5">
        <f t="array" aca="1" ref="H292" ca="1">_FV(G292,"Población")</f>
        <v>1412175000</v>
      </c>
    </row>
    <row r="293" spans="1:8" x14ac:dyDescent="0.35">
      <c r="A293" t="s">
        <v>376</v>
      </c>
      <c r="B293" t="s">
        <v>305</v>
      </c>
      <c r="C293" t="s">
        <v>733</v>
      </c>
      <c r="D293" s="24">
        <v>45624</v>
      </c>
      <c r="E293" s="25">
        <f t="shared" ca="1" si="4"/>
        <v>341</v>
      </c>
      <c r="F293" s="22">
        <v>7409</v>
      </c>
      <c r="G293" t="e" vm="6">
        <v>#VALUE!</v>
      </c>
      <c r="H293" cm="1" vm="7">
        <f t="array" aca="1" ref="H293" ca="1">_FV(G293,"Población")</f>
        <v>46234830</v>
      </c>
    </row>
    <row r="294" spans="1:8" x14ac:dyDescent="0.35">
      <c r="A294" t="s">
        <v>377</v>
      </c>
      <c r="B294" t="s">
        <v>127</v>
      </c>
      <c r="C294" t="s">
        <v>521</v>
      </c>
      <c r="D294" s="24">
        <v>45639</v>
      </c>
      <c r="E294" s="25">
        <f t="shared" ca="1" si="4"/>
        <v>326</v>
      </c>
      <c r="F294" s="22">
        <v>15930</v>
      </c>
      <c r="G294" t="e" vm="2">
        <v>#VALUE!</v>
      </c>
      <c r="H294" cm="1" vm="3">
        <f t="array" aca="1" ref="H294" ca="1">_FV(G294,"Población")</f>
        <v>215313498</v>
      </c>
    </row>
    <row r="295" spans="1:8" x14ac:dyDescent="0.35">
      <c r="A295" t="s">
        <v>378</v>
      </c>
      <c r="B295" t="s">
        <v>350</v>
      </c>
      <c r="C295" t="s">
        <v>522</v>
      </c>
      <c r="D295" s="24">
        <v>45639</v>
      </c>
      <c r="E295" s="25">
        <f t="shared" ca="1" si="4"/>
        <v>326</v>
      </c>
      <c r="F295" s="22">
        <v>12780</v>
      </c>
      <c r="G295" t="e" vm="2">
        <v>#VALUE!</v>
      </c>
      <c r="H295" cm="1" vm="3">
        <f t="array" aca="1" ref="H295" ca="1">_FV(G295,"Población")</f>
        <v>215313498</v>
      </c>
    </row>
    <row r="296" spans="1:8" x14ac:dyDescent="0.35">
      <c r="A296" t="s">
        <v>379</v>
      </c>
      <c r="B296" t="s">
        <v>305</v>
      </c>
      <c r="C296" t="s">
        <v>523</v>
      </c>
      <c r="D296" s="24">
        <v>45681</v>
      </c>
      <c r="E296" s="25">
        <f t="shared" ca="1" si="4"/>
        <v>284</v>
      </c>
      <c r="F296" s="22">
        <v>11660</v>
      </c>
      <c r="G296" t="e" vm="2">
        <v>#VALUE!</v>
      </c>
      <c r="H296" cm="1" vm="3">
        <f t="array" aca="1" ref="H296" ca="1">_FV(G296,"Población")</f>
        <v>215313498</v>
      </c>
    </row>
    <row r="297" spans="1:8" x14ac:dyDescent="0.35">
      <c r="A297" t="s">
        <v>380</v>
      </c>
      <c r="B297" t="s">
        <v>110</v>
      </c>
      <c r="C297" t="s">
        <v>622</v>
      </c>
      <c r="D297" s="24">
        <v>45621</v>
      </c>
      <c r="E297" s="25">
        <f t="shared" ca="1" si="4"/>
        <v>344</v>
      </c>
      <c r="F297" s="22">
        <v>7233</v>
      </c>
      <c r="G297" t="e" vm="4">
        <v>#VALUE!</v>
      </c>
      <c r="H297" cm="1" vm="5">
        <f t="array" aca="1" ref="H297" ca="1">_FV(G297,"Población")</f>
        <v>1412175000</v>
      </c>
    </row>
    <row r="298" spans="1:8" x14ac:dyDescent="0.35">
      <c r="A298" t="s">
        <v>381</v>
      </c>
      <c r="B298" t="s">
        <v>361</v>
      </c>
      <c r="C298" t="s">
        <v>623</v>
      </c>
      <c r="D298" s="24">
        <v>45682</v>
      </c>
      <c r="E298" s="25">
        <f t="shared" ca="1" si="4"/>
        <v>283</v>
      </c>
      <c r="F298" s="22">
        <v>11687</v>
      </c>
      <c r="G298" t="e" vm="4">
        <v>#VALUE!</v>
      </c>
      <c r="H298" cm="1" vm="5">
        <f t="array" aca="1" ref="H298" ca="1">_FV(G298,"Población")</f>
        <v>1412175000</v>
      </c>
    </row>
    <row r="299" spans="1:8" x14ac:dyDescent="0.35">
      <c r="A299" t="s">
        <v>382</v>
      </c>
      <c r="B299" t="s">
        <v>425</v>
      </c>
      <c r="C299" t="s">
        <v>624</v>
      </c>
      <c r="D299" s="24">
        <v>45604</v>
      </c>
      <c r="E299" s="25">
        <f t="shared" ca="1" si="4"/>
        <v>361</v>
      </c>
      <c r="F299" s="22">
        <v>11959</v>
      </c>
      <c r="G299" t="e" vm="4">
        <v>#VALUE!</v>
      </c>
      <c r="H299" cm="1" vm="5">
        <f t="array" aca="1" ref="H299" ca="1">_FV(G299,"Población")</f>
        <v>1412175000</v>
      </c>
    </row>
    <row r="300" spans="1:8" x14ac:dyDescent="0.35">
      <c r="A300" t="s">
        <v>383</v>
      </c>
      <c r="B300" t="s">
        <v>425</v>
      </c>
      <c r="C300" t="s">
        <v>524</v>
      </c>
      <c r="D300" s="24">
        <v>45635</v>
      </c>
      <c r="E300" s="25">
        <f t="shared" ca="1" si="4"/>
        <v>330</v>
      </c>
      <c r="F300" s="22">
        <v>2220</v>
      </c>
      <c r="G300" t="e" vm="2">
        <v>#VALUE!</v>
      </c>
      <c r="H300" cm="1" vm="3">
        <f t="array" aca="1" ref="H300" ca="1">_FV(G300,"Población")</f>
        <v>215313498</v>
      </c>
    </row>
    <row r="301" spans="1:8" x14ac:dyDescent="0.35">
      <c r="A301" t="s">
        <v>384</v>
      </c>
      <c r="B301" t="s">
        <v>110</v>
      </c>
      <c r="C301" t="s">
        <v>734</v>
      </c>
      <c r="D301" s="24">
        <v>45636</v>
      </c>
      <c r="E301" s="25">
        <f t="shared" ca="1" si="4"/>
        <v>329</v>
      </c>
      <c r="F301" s="22">
        <v>14250</v>
      </c>
      <c r="G301" t="e" vm="6">
        <v>#VALUE!</v>
      </c>
      <c r="H301" cm="1" vm="7">
        <f t="array" aca="1" ref="H301" ca="1">_FV(G301,"Población")</f>
        <v>46234830</v>
      </c>
    </row>
    <row r="302" spans="1:8" x14ac:dyDescent="0.35">
      <c r="A302" t="s">
        <v>385</v>
      </c>
      <c r="B302" t="s">
        <v>127</v>
      </c>
      <c r="C302" t="s">
        <v>625</v>
      </c>
      <c r="D302" s="24">
        <v>45631</v>
      </c>
      <c r="E302" s="25">
        <f t="shared" ca="1" si="4"/>
        <v>334</v>
      </c>
      <c r="F302" s="22">
        <v>11253</v>
      </c>
      <c r="G302" t="e" vm="4">
        <v>#VALUE!</v>
      </c>
      <c r="H302" cm="1" vm="5">
        <f t="array" aca="1" ref="H302" ca="1">_FV(G302,"Población")</f>
        <v>1412175000</v>
      </c>
    </row>
    <row r="303" spans="1:8" x14ac:dyDescent="0.35">
      <c r="A303" t="s">
        <v>386</v>
      </c>
      <c r="B303" t="s">
        <v>305</v>
      </c>
      <c r="C303" t="s">
        <v>525</v>
      </c>
      <c r="D303" s="24">
        <v>45650</v>
      </c>
      <c r="E303" s="25">
        <f t="shared" ca="1" si="4"/>
        <v>315</v>
      </c>
      <c r="F303" s="22">
        <v>3477</v>
      </c>
      <c r="G303" t="e" vm="2">
        <v>#VALUE!</v>
      </c>
      <c r="H303" cm="1" vm="3">
        <f t="array" aca="1" ref="H303" ca="1">_FV(G303,"Población")</f>
        <v>215313498</v>
      </c>
    </row>
    <row r="304" spans="1:8" x14ac:dyDescent="0.35">
      <c r="A304" t="s">
        <v>387</v>
      </c>
      <c r="B304" t="s">
        <v>127</v>
      </c>
      <c r="C304" t="s">
        <v>526</v>
      </c>
      <c r="D304" s="24">
        <v>45662</v>
      </c>
      <c r="E304" s="25">
        <f t="shared" ca="1" si="4"/>
        <v>303</v>
      </c>
      <c r="F304" s="22">
        <v>1824</v>
      </c>
      <c r="G304" t="e" vm="2">
        <v>#VALUE!</v>
      </c>
      <c r="H304" cm="1" vm="3">
        <f t="array" aca="1" ref="H304" ca="1">_FV(G304,"Población")</f>
        <v>215313498</v>
      </c>
    </row>
    <row r="305" spans="1:8" x14ac:dyDescent="0.35">
      <c r="A305" t="s">
        <v>388</v>
      </c>
      <c r="B305" t="s">
        <v>110</v>
      </c>
      <c r="C305" t="s">
        <v>735</v>
      </c>
      <c r="D305" s="24">
        <v>45666</v>
      </c>
      <c r="E305" s="25">
        <f t="shared" ca="1" si="4"/>
        <v>299</v>
      </c>
      <c r="F305" s="22">
        <v>19113</v>
      </c>
      <c r="G305" t="e" vm="6">
        <v>#VALUE!</v>
      </c>
      <c r="H305" cm="1" vm="7">
        <f t="array" aca="1" ref="H305" ca="1">_FV(G305,"Población")</f>
        <v>46234830</v>
      </c>
    </row>
    <row r="306" spans="1:8" x14ac:dyDescent="0.35">
      <c r="A306" t="s">
        <v>389</v>
      </c>
      <c r="B306" t="s">
        <v>350</v>
      </c>
      <c r="C306" t="s">
        <v>626</v>
      </c>
      <c r="D306" s="24">
        <v>45633</v>
      </c>
      <c r="E306" s="25">
        <f t="shared" ca="1" si="4"/>
        <v>332</v>
      </c>
      <c r="F306" s="22">
        <v>18004</v>
      </c>
      <c r="G306" t="e" vm="4">
        <v>#VALUE!</v>
      </c>
      <c r="H306" cm="1" vm="5">
        <f t="array" aca="1" ref="H306" ca="1">_FV(G306,"Población")</f>
        <v>1412175000</v>
      </c>
    </row>
    <row r="307" spans="1:8" x14ac:dyDescent="0.35">
      <c r="A307" t="s">
        <v>390</v>
      </c>
      <c r="B307" t="s">
        <v>81</v>
      </c>
      <c r="C307" t="s">
        <v>736</v>
      </c>
      <c r="D307" s="24">
        <v>45672</v>
      </c>
      <c r="E307" s="25">
        <f t="shared" ca="1" si="4"/>
        <v>293</v>
      </c>
      <c r="F307" s="22">
        <v>4734</v>
      </c>
      <c r="G307" t="e" vm="6">
        <v>#VALUE!</v>
      </c>
      <c r="H307" cm="1" vm="7">
        <f t="array" aca="1" ref="H307" ca="1">_FV(G307,"Población")</f>
        <v>46234830</v>
      </c>
    </row>
    <row r="308" spans="1:8" x14ac:dyDescent="0.35">
      <c r="A308" t="s">
        <v>391</v>
      </c>
      <c r="B308" t="s">
        <v>305</v>
      </c>
      <c r="C308" t="s">
        <v>627</v>
      </c>
      <c r="D308" s="24">
        <v>45603</v>
      </c>
      <c r="E308" s="25">
        <f t="shared" ca="1" si="4"/>
        <v>362</v>
      </c>
      <c r="F308" s="22">
        <v>17772</v>
      </c>
      <c r="G308" t="e" vm="4">
        <v>#VALUE!</v>
      </c>
      <c r="H308" cm="1" vm="5">
        <f t="array" aca="1" ref="H308" ca="1">_FV(G308,"Población")</f>
        <v>1412175000</v>
      </c>
    </row>
    <row r="309" spans="1:8" x14ac:dyDescent="0.35">
      <c r="A309" t="s">
        <v>392</v>
      </c>
      <c r="B309" t="s">
        <v>110</v>
      </c>
      <c r="C309" t="s">
        <v>737</v>
      </c>
      <c r="D309" s="24">
        <v>45624</v>
      </c>
      <c r="E309" s="25">
        <f t="shared" ca="1" si="4"/>
        <v>341</v>
      </c>
      <c r="F309" s="22">
        <v>13609</v>
      </c>
      <c r="G309" t="e" vm="6">
        <v>#VALUE!</v>
      </c>
      <c r="H309" cm="1" vm="7">
        <f t="array" aca="1" ref="H309" ca="1">_FV(G309,"Población")</f>
        <v>46234830</v>
      </c>
    </row>
    <row r="310" spans="1:8" x14ac:dyDescent="0.35">
      <c r="A310" t="s">
        <v>393</v>
      </c>
      <c r="B310" t="s">
        <v>127</v>
      </c>
      <c r="C310" t="s">
        <v>738</v>
      </c>
      <c r="D310" s="24">
        <v>45678</v>
      </c>
      <c r="E310" s="25">
        <f t="shared" ca="1" si="4"/>
        <v>287</v>
      </c>
      <c r="F310" s="22">
        <v>13799</v>
      </c>
      <c r="G310" t="e" vm="6">
        <v>#VALUE!</v>
      </c>
      <c r="H310" cm="1" vm="7">
        <f t="array" aca="1" ref="H310" ca="1">_FV(G310,"Población")</f>
        <v>46234830</v>
      </c>
    </row>
    <row r="311" spans="1:8" x14ac:dyDescent="0.35">
      <c r="A311" t="s">
        <v>394</v>
      </c>
      <c r="B311" t="s">
        <v>81</v>
      </c>
      <c r="C311" t="s">
        <v>527</v>
      </c>
      <c r="D311" s="24">
        <v>45610</v>
      </c>
      <c r="E311" s="25">
        <f t="shared" ca="1" si="4"/>
        <v>355</v>
      </c>
      <c r="F311" s="22">
        <v>19248</v>
      </c>
      <c r="G311" t="e" vm="2">
        <v>#VALUE!</v>
      </c>
      <c r="H311" cm="1" vm="3">
        <f t="array" aca="1" ref="H311" ca="1">_FV(G311,"Población")</f>
        <v>215313498</v>
      </c>
    </row>
    <row r="312" spans="1:8" x14ac:dyDescent="0.35">
      <c r="A312" t="s">
        <v>395</v>
      </c>
      <c r="B312" t="s">
        <v>127</v>
      </c>
      <c r="C312" t="s">
        <v>739</v>
      </c>
      <c r="D312" s="24">
        <v>45681</v>
      </c>
      <c r="E312" s="25">
        <f t="shared" ca="1" si="4"/>
        <v>284</v>
      </c>
      <c r="F312" s="22">
        <v>9150</v>
      </c>
      <c r="G312" t="e" vm="6">
        <v>#VALUE!</v>
      </c>
      <c r="H312" cm="1" vm="7">
        <f t="array" aca="1" ref="H312" ca="1">_FV(G312,"Población")</f>
        <v>46234830</v>
      </c>
    </row>
    <row r="313" spans="1:8" x14ac:dyDescent="0.35">
      <c r="A313" t="s">
        <v>396</v>
      </c>
      <c r="B313" t="s">
        <v>305</v>
      </c>
      <c r="C313" t="s">
        <v>628</v>
      </c>
      <c r="D313" s="24">
        <v>45682</v>
      </c>
      <c r="E313" s="25">
        <f t="shared" ca="1" si="4"/>
        <v>283</v>
      </c>
      <c r="F313" s="22">
        <v>15516</v>
      </c>
      <c r="G313" t="e" vm="4">
        <v>#VALUE!</v>
      </c>
      <c r="H313" cm="1" vm="5">
        <f t="array" aca="1" ref="H313" ca="1">_FV(G313,"Población")</f>
        <v>1412175000</v>
      </c>
    </row>
    <row r="314" spans="1:8" x14ac:dyDescent="0.35">
      <c r="A314" t="s">
        <v>397</v>
      </c>
      <c r="B314" t="s">
        <v>305</v>
      </c>
      <c r="C314" t="s">
        <v>412</v>
      </c>
      <c r="D314" s="24">
        <v>45630</v>
      </c>
      <c r="E314" s="25">
        <f t="shared" ca="1" si="4"/>
        <v>335</v>
      </c>
      <c r="F314" s="22">
        <v>10301</v>
      </c>
      <c r="G314" t="e" vm="6">
        <v>#VALUE!</v>
      </c>
      <c r="H314" cm="1" vm="7">
        <f t="array" aca="1" ref="H314" ca="1">_FV(G314,"Población")</f>
        <v>46234830</v>
      </c>
    </row>
    <row r="315" spans="1:8" x14ac:dyDescent="0.35">
      <c r="A315" t="s">
        <v>398</v>
      </c>
      <c r="B315" t="s">
        <v>81</v>
      </c>
      <c r="C315" t="s">
        <v>629</v>
      </c>
      <c r="D315" s="24">
        <v>45621</v>
      </c>
      <c r="E315" s="25">
        <f t="shared" ca="1" si="4"/>
        <v>344</v>
      </c>
      <c r="F315" s="22">
        <v>2057</v>
      </c>
      <c r="G315" t="e" vm="4">
        <v>#VALUE!</v>
      </c>
      <c r="H315" cm="1" vm="5">
        <f t="array" aca="1" ref="H315" ca="1">_FV(G315,"Población")</f>
        <v>1412175000</v>
      </c>
    </row>
    <row r="316" spans="1:8" x14ac:dyDescent="0.35">
      <c r="A316" t="s">
        <v>399</v>
      </c>
      <c r="B316" t="s">
        <v>305</v>
      </c>
      <c r="C316" t="s">
        <v>740</v>
      </c>
      <c r="D316" s="24">
        <v>45651</v>
      </c>
      <c r="E316" s="25">
        <f t="shared" ca="1" si="4"/>
        <v>314</v>
      </c>
      <c r="F316" s="22">
        <v>4331</v>
      </c>
      <c r="G316" t="e" vm="6">
        <v>#VALUE!</v>
      </c>
      <c r="H316" cm="1" vm="7">
        <f t="array" aca="1" ref="H316" ca="1">_FV(G316,"Población")</f>
        <v>46234830</v>
      </c>
    </row>
    <row r="317" spans="1:8" x14ac:dyDescent="0.35">
      <c r="A317" t="s">
        <v>400</v>
      </c>
      <c r="B317" t="s">
        <v>425</v>
      </c>
      <c r="C317" t="s">
        <v>630</v>
      </c>
      <c r="D317" s="24">
        <v>45682</v>
      </c>
      <c r="E317" s="25">
        <f t="shared" ca="1" si="4"/>
        <v>283</v>
      </c>
      <c r="F317" s="22">
        <v>14287</v>
      </c>
      <c r="G317" t="e" vm="4">
        <v>#VALUE!</v>
      </c>
      <c r="H317" cm="1" vm="5">
        <f t="array" aca="1" ref="H317" ca="1">_FV(G317,"Población")</f>
        <v>1412175000</v>
      </c>
    </row>
    <row r="318" spans="1:8" x14ac:dyDescent="0.35">
      <c r="A318" t="s">
        <v>401</v>
      </c>
      <c r="B318" t="s">
        <v>127</v>
      </c>
      <c r="C318" t="s">
        <v>413</v>
      </c>
      <c r="D318" s="24">
        <v>45658</v>
      </c>
      <c r="E318" s="25">
        <f t="shared" ca="1" si="4"/>
        <v>307</v>
      </c>
      <c r="F318" s="22">
        <v>18641</v>
      </c>
      <c r="G318" t="e" vm="6">
        <v>#VALUE!</v>
      </c>
      <c r="H318" cm="1" vm="7">
        <f t="array" aca="1" ref="H318" ca="1">_FV(G318,"Población")</f>
        <v>46234830</v>
      </c>
    </row>
    <row r="319" spans="1:8" x14ac:dyDescent="0.35">
      <c r="A319" t="s">
        <v>402</v>
      </c>
      <c r="B319" t="s">
        <v>425</v>
      </c>
      <c r="C319" t="s">
        <v>631</v>
      </c>
      <c r="D319" s="24">
        <v>45626</v>
      </c>
      <c r="E319" s="25">
        <f t="shared" ca="1" si="4"/>
        <v>339</v>
      </c>
      <c r="F319" s="22">
        <v>6234</v>
      </c>
      <c r="G319" t="e" vm="4">
        <v>#VALUE!</v>
      </c>
      <c r="H319" cm="1" vm="5">
        <f t="array" aca="1" ref="H319" ca="1">_FV(G319,"Población")</f>
        <v>1412175000</v>
      </c>
    </row>
    <row r="320" spans="1:8" x14ac:dyDescent="0.35">
      <c r="A320" t="s">
        <v>403</v>
      </c>
      <c r="B320" t="s">
        <v>425</v>
      </c>
      <c r="C320" t="s">
        <v>741</v>
      </c>
      <c r="D320" s="24">
        <v>45604</v>
      </c>
      <c r="E320" s="25">
        <f t="shared" ca="1" si="4"/>
        <v>361</v>
      </c>
      <c r="F320" s="22">
        <v>2398</v>
      </c>
      <c r="G320" t="e" vm="6">
        <v>#VALUE!</v>
      </c>
      <c r="H320" cm="1" vm="7">
        <f t="array" aca="1" ref="H320" ca="1">_FV(G320,"Población")</f>
        <v>46234830</v>
      </c>
    </row>
    <row r="321" spans="1:8" x14ac:dyDescent="0.35">
      <c r="A321" t="s">
        <v>404</v>
      </c>
      <c r="B321" t="s">
        <v>361</v>
      </c>
      <c r="C321" t="s">
        <v>742</v>
      </c>
      <c r="D321" s="24">
        <v>45681</v>
      </c>
      <c r="E321" s="25">
        <f t="shared" ca="1" si="4"/>
        <v>284</v>
      </c>
      <c r="F321" s="22">
        <v>12325</v>
      </c>
      <c r="G321" t="e" vm="6">
        <v>#VALUE!</v>
      </c>
      <c r="H321" cm="1" vm="7">
        <f t="array" aca="1" ref="H321" ca="1">_FV(G321,"Población")</f>
        <v>46234830</v>
      </c>
    </row>
    <row r="322" spans="1:8" x14ac:dyDescent="0.35">
      <c r="A322" t="s">
        <v>405</v>
      </c>
      <c r="B322" t="s">
        <v>425</v>
      </c>
      <c r="C322" t="s">
        <v>743</v>
      </c>
      <c r="D322" s="24">
        <v>45663</v>
      </c>
      <c r="E322" s="25">
        <f t="shared" ca="1" si="4"/>
        <v>302</v>
      </c>
      <c r="F322" s="22">
        <v>6392</v>
      </c>
      <c r="G322" t="e" vm="6">
        <v>#VALUE!</v>
      </c>
      <c r="H322" cm="1" vm="7">
        <f t="array" aca="1" ref="H322" ca="1">_FV(G322,"Población")</f>
        <v>46234830</v>
      </c>
    </row>
    <row r="323" spans="1:8" x14ac:dyDescent="0.35">
      <c r="A323" t="s">
        <v>406</v>
      </c>
      <c r="B323" t="s">
        <v>425</v>
      </c>
      <c r="C323" t="s">
        <v>744</v>
      </c>
      <c r="D323" s="24">
        <v>45616</v>
      </c>
      <c r="E323" s="25">
        <f t="shared" ref="E323:E324" ca="1" si="5">TODAY()-D323</f>
        <v>349</v>
      </c>
      <c r="F323" s="22">
        <v>9859</v>
      </c>
      <c r="G323" t="e" vm="6">
        <v>#VALUE!</v>
      </c>
      <c r="H323" cm="1" vm="7">
        <f t="array" aca="1" ref="H323" ca="1">_FV(G323,"Población")</f>
        <v>46234830</v>
      </c>
    </row>
    <row r="324" spans="1:8" x14ac:dyDescent="0.35">
      <c r="A324" t="s">
        <v>407</v>
      </c>
      <c r="B324" t="s">
        <v>127</v>
      </c>
      <c r="C324" t="s">
        <v>528</v>
      </c>
      <c r="D324" s="24">
        <v>45676</v>
      </c>
      <c r="E324" s="25">
        <f t="shared" ca="1" si="5"/>
        <v>289</v>
      </c>
      <c r="F324" s="22">
        <v>15964</v>
      </c>
      <c r="G324" t="e" vm="2">
        <v>#VALUE!</v>
      </c>
      <c r="H324" cm="1" vm="3">
        <f t="array" aca="1" ref="H324" ca="1">_FV(G324,"Población")</f>
        <v>215313498</v>
      </c>
    </row>
  </sheetData>
  <hyperlinks>
    <hyperlink ref="A1" location="'Lo que aprenderás'!A1" display="Inicio" xr:uid="{35D35743-E111-4738-AB8A-62B6DD0745D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25CA0-B641-4650-8B87-6C3F8E2DA6C9}">
  <sheetPr codeName="Hoja5"/>
  <dimension ref="A1:H323"/>
  <sheetViews>
    <sheetView topLeftCell="C3" zoomScale="145" zoomScaleNormal="145" workbookViewId="0">
      <selection activeCell="C12" sqref="C12"/>
    </sheetView>
  </sheetViews>
  <sheetFormatPr baseColWidth="10" defaultRowHeight="14.5" x14ac:dyDescent="0.35"/>
  <cols>
    <col min="1" max="1" width="11.54296875" bestFit="1" customWidth="1"/>
    <col min="2" max="2" width="21" customWidth="1"/>
    <col min="3" max="3" width="28.26953125" customWidth="1"/>
    <col min="4" max="4" width="18.26953125" customWidth="1"/>
    <col min="5" max="5" width="27.26953125" bestFit="1" customWidth="1"/>
    <col min="6" max="6" width="11.81640625" customWidth="1"/>
    <col min="7" max="7" width="19.7265625" customWidth="1"/>
    <col min="8" max="8" width="13.7265625" bestFit="1" customWidth="1"/>
    <col min="9" max="9" width="21.81640625" customWidth="1"/>
  </cols>
  <sheetData>
    <row r="1" spans="1:8" x14ac:dyDescent="0.35">
      <c r="A1" s="55" t="s">
        <v>55</v>
      </c>
      <c r="B1" s="55" t="s">
        <v>78</v>
      </c>
      <c r="C1" s="55" t="s">
        <v>79</v>
      </c>
      <c r="D1" s="55" t="s">
        <v>408</v>
      </c>
      <c r="E1" s="55" t="s">
        <v>409</v>
      </c>
      <c r="F1" s="12" t="s">
        <v>35</v>
      </c>
    </row>
    <row r="2" spans="1:8" x14ac:dyDescent="0.35">
      <c r="A2" t="s">
        <v>80</v>
      </c>
      <c r="B2" t="s">
        <v>425</v>
      </c>
      <c r="C2" s="24">
        <v>44903</v>
      </c>
      <c r="D2" s="22">
        <v>2294</v>
      </c>
      <c r="E2" t="s">
        <v>4</v>
      </c>
      <c r="G2" t="s">
        <v>776</v>
      </c>
    </row>
    <row r="3" spans="1:8" x14ac:dyDescent="0.35">
      <c r="A3" t="s">
        <v>82</v>
      </c>
      <c r="B3" t="s">
        <v>127</v>
      </c>
      <c r="C3" s="24">
        <v>44870</v>
      </c>
      <c r="D3" s="22">
        <v>13932</v>
      </c>
      <c r="E3" t="s">
        <v>745</v>
      </c>
      <c r="G3" s="58" t="s">
        <v>747</v>
      </c>
      <c r="H3" s="59">
        <f>SUM(D:D)</f>
        <v>3316286</v>
      </c>
    </row>
    <row r="4" spans="1:8" x14ac:dyDescent="0.35">
      <c r="A4" t="s">
        <v>83</v>
      </c>
      <c r="B4" t="s">
        <v>81</v>
      </c>
      <c r="C4" s="24">
        <v>44937</v>
      </c>
      <c r="D4" s="22">
        <v>5277</v>
      </c>
      <c r="E4" t="s">
        <v>27</v>
      </c>
    </row>
    <row r="5" spans="1:8" x14ac:dyDescent="0.35">
      <c r="A5" t="s">
        <v>84</v>
      </c>
      <c r="B5" t="s">
        <v>350</v>
      </c>
      <c r="C5" s="24">
        <v>44909</v>
      </c>
      <c r="D5" s="22">
        <v>16085</v>
      </c>
      <c r="E5" t="s">
        <v>745</v>
      </c>
      <c r="G5" t="s">
        <v>777</v>
      </c>
    </row>
    <row r="6" spans="1:8" x14ac:dyDescent="0.35">
      <c r="A6" t="s">
        <v>85</v>
      </c>
      <c r="B6" t="s">
        <v>425</v>
      </c>
      <c r="C6" s="24">
        <v>44939</v>
      </c>
      <c r="D6" s="22">
        <v>16357</v>
      </c>
      <c r="E6" t="s">
        <v>745</v>
      </c>
      <c r="G6" s="60" t="s">
        <v>78</v>
      </c>
      <c r="H6" s="60" t="s">
        <v>746</v>
      </c>
    </row>
    <row r="7" spans="1:8" x14ac:dyDescent="0.35">
      <c r="A7" t="s">
        <v>86</v>
      </c>
      <c r="B7" t="s">
        <v>350</v>
      </c>
      <c r="C7" s="24">
        <v>44950</v>
      </c>
      <c r="D7" s="22">
        <v>19413</v>
      </c>
      <c r="E7" t="s">
        <v>27</v>
      </c>
      <c r="G7" s="1" t="s">
        <v>425</v>
      </c>
      <c r="H7" s="84">
        <f>SUMIF(B:B,G7,D:D)</f>
        <v>440561</v>
      </c>
    </row>
    <row r="8" spans="1:8" x14ac:dyDescent="0.35">
      <c r="A8" t="s">
        <v>87</v>
      </c>
      <c r="B8" t="s">
        <v>361</v>
      </c>
      <c r="C8" s="24">
        <v>44917</v>
      </c>
      <c r="D8" s="22">
        <v>11388</v>
      </c>
      <c r="E8" t="s">
        <v>27</v>
      </c>
    </row>
    <row r="9" spans="1:8" x14ac:dyDescent="0.35">
      <c r="A9" t="s">
        <v>88</v>
      </c>
      <c r="B9" t="s">
        <v>305</v>
      </c>
      <c r="C9" s="24">
        <v>44945</v>
      </c>
      <c r="D9" s="22">
        <v>14682</v>
      </c>
      <c r="E9" t="s">
        <v>27</v>
      </c>
      <c r="G9" t="s">
        <v>778</v>
      </c>
      <c r="H9" t="s">
        <v>814</v>
      </c>
    </row>
    <row r="10" spans="1:8" x14ac:dyDescent="0.35">
      <c r="A10" t="s">
        <v>89</v>
      </c>
      <c r="B10" t="s">
        <v>110</v>
      </c>
      <c r="C10" s="24">
        <v>44945</v>
      </c>
      <c r="D10" s="22">
        <v>11295</v>
      </c>
      <c r="E10" t="s">
        <v>745</v>
      </c>
      <c r="G10" s="60" t="s">
        <v>78</v>
      </c>
      <c r="H10" s="60" t="s">
        <v>409</v>
      </c>
    </row>
    <row r="11" spans="1:8" ht="15" customHeight="1" x14ac:dyDescent="0.35">
      <c r="A11" t="s">
        <v>90</v>
      </c>
      <c r="B11" t="s">
        <v>425</v>
      </c>
      <c r="C11" s="24">
        <v>44885</v>
      </c>
      <c r="D11" s="22">
        <v>12040</v>
      </c>
      <c r="E11" t="s">
        <v>4</v>
      </c>
      <c r="G11" s="1" t="s">
        <v>425</v>
      </c>
      <c r="H11" s="1" t="s">
        <v>27</v>
      </c>
    </row>
    <row r="12" spans="1:8" ht="15" customHeight="1" x14ac:dyDescent="0.35">
      <c r="A12" t="s">
        <v>91</v>
      </c>
      <c r="B12" t="s">
        <v>81</v>
      </c>
      <c r="C12" s="24">
        <v>44913</v>
      </c>
      <c r="D12" s="22">
        <v>8892</v>
      </c>
      <c r="E12" t="s">
        <v>27</v>
      </c>
    </row>
    <row r="13" spans="1:8" ht="15" customHeight="1" x14ac:dyDescent="0.35">
      <c r="A13" t="s">
        <v>92</v>
      </c>
      <c r="B13" t="s">
        <v>305</v>
      </c>
      <c r="C13" s="24">
        <v>44908</v>
      </c>
      <c r="D13" s="22">
        <v>4172</v>
      </c>
      <c r="E13" t="s">
        <v>745</v>
      </c>
    </row>
    <row r="14" spans="1:8" ht="15.75" customHeight="1" x14ac:dyDescent="0.35">
      <c r="A14" t="s">
        <v>93</v>
      </c>
      <c r="B14" t="s">
        <v>361</v>
      </c>
      <c r="C14" s="24">
        <v>44880</v>
      </c>
      <c r="D14" s="22">
        <v>14820</v>
      </c>
      <c r="E14" t="s">
        <v>4</v>
      </c>
      <c r="G14" s="60" t="s">
        <v>746</v>
      </c>
    </row>
    <row r="15" spans="1:8" ht="15" customHeight="1" x14ac:dyDescent="0.35">
      <c r="A15" t="s">
        <v>94</v>
      </c>
      <c r="B15" t="s">
        <v>361</v>
      </c>
      <c r="C15" s="24">
        <v>44900</v>
      </c>
      <c r="D15" s="22">
        <v>16881</v>
      </c>
      <c r="E15" t="s">
        <v>745</v>
      </c>
      <c r="G15" s="49">
        <f>SUMIFS(D:D,B:B,G11,E:E,H11)</f>
        <v>134190</v>
      </c>
    </row>
    <row r="16" spans="1:8" ht="15" customHeight="1" x14ac:dyDescent="0.35">
      <c r="A16" t="s">
        <v>95</v>
      </c>
      <c r="B16" t="s">
        <v>305</v>
      </c>
      <c r="C16" s="24">
        <v>44944</v>
      </c>
      <c r="D16" s="22">
        <v>2181</v>
      </c>
      <c r="E16" t="s">
        <v>745</v>
      </c>
    </row>
    <row r="17" spans="1:5" ht="15.75" customHeight="1" x14ac:dyDescent="0.35">
      <c r="A17" t="s">
        <v>96</v>
      </c>
      <c r="B17" t="s">
        <v>305</v>
      </c>
      <c r="C17" s="24">
        <v>44925</v>
      </c>
      <c r="D17" s="22">
        <v>16813</v>
      </c>
      <c r="E17" t="s">
        <v>745</v>
      </c>
    </row>
    <row r="18" spans="1:5" x14ac:dyDescent="0.35">
      <c r="A18" t="s">
        <v>97</v>
      </c>
      <c r="B18" t="s">
        <v>127</v>
      </c>
      <c r="C18" s="24">
        <v>44929</v>
      </c>
      <c r="D18" s="22">
        <v>3336</v>
      </c>
      <c r="E18" t="s">
        <v>4</v>
      </c>
    </row>
    <row r="19" spans="1:5" x14ac:dyDescent="0.35">
      <c r="A19" t="s">
        <v>98</v>
      </c>
      <c r="B19" t="s">
        <v>361</v>
      </c>
      <c r="C19" s="24">
        <v>44935</v>
      </c>
      <c r="D19" s="22">
        <v>1573</v>
      </c>
      <c r="E19" t="s">
        <v>4</v>
      </c>
    </row>
    <row r="20" spans="1:5" x14ac:dyDescent="0.35">
      <c r="A20" t="s">
        <v>99</v>
      </c>
      <c r="B20" t="s">
        <v>425</v>
      </c>
      <c r="C20" s="24">
        <v>44947</v>
      </c>
      <c r="D20" s="22">
        <v>2796</v>
      </c>
      <c r="E20" t="s">
        <v>745</v>
      </c>
    </row>
    <row r="21" spans="1:5" x14ac:dyDescent="0.35">
      <c r="A21" t="s">
        <v>100</v>
      </c>
      <c r="B21" t="s">
        <v>110</v>
      </c>
      <c r="C21" s="24">
        <v>44878</v>
      </c>
      <c r="D21" s="22">
        <v>18910</v>
      </c>
      <c r="E21" t="s">
        <v>745</v>
      </c>
    </row>
    <row r="22" spans="1:5" x14ac:dyDescent="0.35">
      <c r="A22" t="s">
        <v>101</v>
      </c>
      <c r="B22" t="s">
        <v>305</v>
      </c>
      <c r="C22" s="24">
        <v>44870</v>
      </c>
      <c r="D22" s="22">
        <v>6618</v>
      </c>
      <c r="E22" t="s">
        <v>745</v>
      </c>
    </row>
    <row r="23" spans="1:5" x14ac:dyDescent="0.35">
      <c r="A23" t="s">
        <v>102</v>
      </c>
      <c r="B23" t="s">
        <v>425</v>
      </c>
      <c r="C23" s="24">
        <v>44907</v>
      </c>
      <c r="D23" s="22">
        <v>6272</v>
      </c>
      <c r="E23" t="s">
        <v>27</v>
      </c>
    </row>
    <row r="24" spans="1:5" x14ac:dyDescent="0.35">
      <c r="A24" t="s">
        <v>103</v>
      </c>
      <c r="B24" t="s">
        <v>350</v>
      </c>
      <c r="C24" s="24">
        <v>44896</v>
      </c>
      <c r="D24" s="22">
        <v>18100</v>
      </c>
      <c r="E24" t="s">
        <v>27</v>
      </c>
    </row>
    <row r="25" spans="1:5" x14ac:dyDescent="0.35">
      <c r="A25" t="s">
        <v>104</v>
      </c>
      <c r="B25" t="s">
        <v>361</v>
      </c>
      <c r="C25" s="24">
        <v>44876</v>
      </c>
      <c r="D25" s="22">
        <v>14817</v>
      </c>
      <c r="E25" t="s">
        <v>27</v>
      </c>
    </row>
    <row r="26" spans="1:5" x14ac:dyDescent="0.35">
      <c r="A26" t="s">
        <v>105</v>
      </c>
      <c r="B26" t="s">
        <v>110</v>
      </c>
      <c r="C26" s="24">
        <v>44878</v>
      </c>
      <c r="D26" s="22">
        <v>9644</v>
      </c>
      <c r="E26" t="s">
        <v>27</v>
      </c>
    </row>
    <row r="27" spans="1:5" x14ac:dyDescent="0.35">
      <c r="A27" t="s">
        <v>106</v>
      </c>
      <c r="B27" t="s">
        <v>305</v>
      </c>
      <c r="C27" s="24">
        <v>44955</v>
      </c>
      <c r="D27" s="22">
        <v>1476</v>
      </c>
      <c r="E27" t="s">
        <v>27</v>
      </c>
    </row>
    <row r="28" spans="1:5" x14ac:dyDescent="0.35">
      <c r="A28" t="s">
        <v>107</v>
      </c>
      <c r="B28" t="s">
        <v>425</v>
      </c>
      <c r="C28" s="24">
        <v>44953</v>
      </c>
      <c r="D28" s="22">
        <v>19430</v>
      </c>
      <c r="E28" t="s">
        <v>4</v>
      </c>
    </row>
    <row r="29" spans="1:5" x14ac:dyDescent="0.35">
      <c r="A29" t="s">
        <v>108</v>
      </c>
      <c r="B29" t="s">
        <v>350</v>
      </c>
      <c r="C29" s="24">
        <v>44930</v>
      </c>
      <c r="D29" s="22">
        <v>17519</v>
      </c>
      <c r="E29" t="s">
        <v>745</v>
      </c>
    </row>
    <row r="30" spans="1:5" x14ac:dyDescent="0.35">
      <c r="A30" t="s">
        <v>109</v>
      </c>
      <c r="B30" t="s">
        <v>127</v>
      </c>
      <c r="C30" s="24">
        <v>44873</v>
      </c>
      <c r="D30" s="22">
        <v>5650</v>
      </c>
      <c r="E30" t="s">
        <v>27</v>
      </c>
    </row>
    <row r="31" spans="1:5" x14ac:dyDescent="0.35">
      <c r="A31" t="s">
        <v>111</v>
      </c>
      <c r="B31" t="s">
        <v>361</v>
      </c>
      <c r="C31" s="24">
        <v>44906</v>
      </c>
      <c r="D31" s="22">
        <v>14642</v>
      </c>
      <c r="E31" t="s">
        <v>745</v>
      </c>
    </row>
    <row r="32" spans="1:5" x14ac:dyDescent="0.35">
      <c r="A32" t="s">
        <v>112</v>
      </c>
      <c r="B32" t="s">
        <v>361</v>
      </c>
      <c r="C32" s="24">
        <v>44936</v>
      </c>
      <c r="D32" s="22">
        <v>8335</v>
      </c>
      <c r="E32" t="s">
        <v>745</v>
      </c>
    </row>
    <row r="33" spans="1:5" x14ac:dyDescent="0.35">
      <c r="A33" t="s">
        <v>113</v>
      </c>
      <c r="B33" t="s">
        <v>81</v>
      </c>
      <c r="C33" s="24">
        <v>44880</v>
      </c>
      <c r="D33" s="22">
        <v>2905</v>
      </c>
      <c r="E33" t="s">
        <v>745</v>
      </c>
    </row>
    <row r="34" spans="1:5" x14ac:dyDescent="0.35">
      <c r="A34" t="s">
        <v>114</v>
      </c>
      <c r="B34" t="s">
        <v>425</v>
      </c>
      <c r="C34" s="24">
        <v>44921</v>
      </c>
      <c r="D34" s="22">
        <v>13977</v>
      </c>
      <c r="E34" t="s">
        <v>745</v>
      </c>
    </row>
    <row r="35" spans="1:5" x14ac:dyDescent="0.35">
      <c r="A35" t="s">
        <v>115</v>
      </c>
      <c r="B35" t="s">
        <v>361</v>
      </c>
      <c r="C35" s="24">
        <v>44888</v>
      </c>
      <c r="D35" s="22">
        <v>10819</v>
      </c>
      <c r="E35" t="s">
        <v>745</v>
      </c>
    </row>
    <row r="36" spans="1:5" x14ac:dyDescent="0.35">
      <c r="A36" t="s">
        <v>116</v>
      </c>
      <c r="B36" t="s">
        <v>81</v>
      </c>
      <c r="C36" s="24">
        <v>44914</v>
      </c>
      <c r="D36" s="22">
        <v>14226</v>
      </c>
      <c r="E36" t="s">
        <v>27</v>
      </c>
    </row>
    <row r="37" spans="1:5" x14ac:dyDescent="0.35">
      <c r="A37" t="s">
        <v>117</v>
      </c>
      <c r="B37" t="s">
        <v>361</v>
      </c>
      <c r="C37" s="24">
        <v>44939</v>
      </c>
      <c r="D37" s="22">
        <v>14054</v>
      </c>
      <c r="E37" t="s">
        <v>4</v>
      </c>
    </row>
    <row r="38" spans="1:5" x14ac:dyDescent="0.35">
      <c r="A38" t="s">
        <v>118</v>
      </c>
      <c r="B38" t="s">
        <v>127</v>
      </c>
      <c r="C38" s="24">
        <v>44938</v>
      </c>
      <c r="D38" s="22">
        <v>14015</v>
      </c>
      <c r="E38" t="s">
        <v>745</v>
      </c>
    </row>
    <row r="39" spans="1:5" x14ac:dyDescent="0.35">
      <c r="A39" t="s">
        <v>119</v>
      </c>
      <c r="B39" t="s">
        <v>81</v>
      </c>
      <c r="C39" s="24">
        <v>44943</v>
      </c>
      <c r="D39" s="22">
        <v>13645</v>
      </c>
      <c r="E39" t="s">
        <v>4</v>
      </c>
    </row>
    <row r="40" spans="1:5" x14ac:dyDescent="0.35">
      <c r="A40" t="s">
        <v>120</v>
      </c>
      <c r="B40" t="s">
        <v>425</v>
      </c>
      <c r="C40" s="24">
        <v>44937</v>
      </c>
      <c r="D40" s="22">
        <v>14017</v>
      </c>
      <c r="E40" t="s">
        <v>27</v>
      </c>
    </row>
    <row r="41" spans="1:5" x14ac:dyDescent="0.35">
      <c r="A41" t="s">
        <v>121</v>
      </c>
      <c r="B41" t="s">
        <v>425</v>
      </c>
      <c r="C41" s="24">
        <v>44905</v>
      </c>
      <c r="D41" s="22">
        <v>3229</v>
      </c>
      <c r="E41" t="s">
        <v>4</v>
      </c>
    </row>
    <row r="42" spans="1:5" x14ac:dyDescent="0.35">
      <c r="A42" t="s">
        <v>122</v>
      </c>
      <c r="B42" t="s">
        <v>305</v>
      </c>
      <c r="C42" s="24">
        <v>44897</v>
      </c>
      <c r="D42" s="22">
        <v>13654</v>
      </c>
      <c r="E42" t="s">
        <v>4</v>
      </c>
    </row>
    <row r="43" spans="1:5" x14ac:dyDescent="0.35">
      <c r="A43" t="s">
        <v>123</v>
      </c>
      <c r="B43" t="s">
        <v>350</v>
      </c>
      <c r="C43" s="24">
        <v>44887</v>
      </c>
      <c r="D43" s="22">
        <v>15893</v>
      </c>
      <c r="E43" t="s">
        <v>4</v>
      </c>
    </row>
    <row r="44" spans="1:5" x14ac:dyDescent="0.35">
      <c r="A44" t="s">
        <v>124</v>
      </c>
      <c r="B44" t="s">
        <v>127</v>
      </c>
      <c r="C44" s="24">
        <v>44875</v>
      </c>
      <c r="D44" s="22">
        <v>7333</v>
      </c>
      <c r="E44" t="s">
        <v>27</v>
      </c>
    </row>
    <row r="45" spans="1:5" x14ac:dyDescent="0.35">
      <c r="A45" t="s">
        <v>125</v>
      </c>
      <c r="B45" t="s">
        <v>361</v>
      </c>
      <c r="C45" s="24">
        <v>44867</v>
      </c>
      <c r="D45" s="22">
        <v>5222</v>
      </c>
      <c r="E45" t="s">
        <v>4</v>
      </c>
    </row>
    <row r="46" spans="1:5" x14ac:dyDescent="0.35">
      <c r="A46" t="s">
        <v>126</v>
      </c>
      <c r="B46" t="s">
        <v>127</v>
      </c>
      <c r="C46" s="24">
        <v>44936</v>
      </c>
      <c r="D46" s="22">
        <v>9372</v>
      </c>
      <c r="E46" t="s">
        <v>4</v>
      </c>
    </row>
    <row r="47" spans="1:5" x14ac:dyDescent="0.35">
      <c r="A47" t="s">
        <v>128</v>
      </c>
      <c r="B47" t="s">
        <v>350</v>
      </c>
      <c r="C47" s="24">
        <v>44940</v>
      </c>
      <c r="D47" s="22">
        <v>10322</v>
      </c>
      <c r="E47" t="s">
        <v>27</v>
      </c>
    </row>
    <row r="48" spans="1:5" x14ac:dyDescent="0.35">
      <c r="A48" t="s">
        <v>129</v>
      </c>
      <c r="B48" t="s">
        <v>81</v>
      </c>
      <c r="C48" s="24">
        <v>44902</v>
      </c>
      <c r="D48" s="22">
        <v>11382</v>
      </c>
      <c r="E48" t="s">
        <v>27</v>
      </c>
    </row>
    <row r="49" spans="1:5" x14ac:dyDescent="0.35">
      <c r="A49" t="s">
        <v>130</v>
      </c>
      <c r="B49" t="s">
        <v>110</v>
      </c>
      <c r="C49" s="24">
        <v>44933</v>
      </c>
      <c r="D49" s="22">
        <v>12591</v>
      </c>
      <c r="E49" t="s">
        <v>745</v>
      </c>
    </row>
    <row r="50" spans="1:5" x14ac:dyDescent="0.35">
      <c r="A50" t="s">
        <v>131</v>
      </c>
      <c r="B50" t="s">
        <v>110</v>
      </c>
      <c r="C50" s="24">
        <v>44930</v>
      </c>
      <c r="D50" s="22">
        <v>9882</v>
      </c>
      <c r="E50" t="s">
        <v>745</v>
      </c>
    </row>
    <row r="51" spans="1:5" x14ac:dyDescent="0.35">
      <c r="A51" t="s">
        <v>132</v>
      </c>
      <c r="B51" t="s">
        <v>350</v>
      </c>
      <c r="C51" s="24">
        <v>44882</v>
      </c>
      <c r="D51" s="22">
        <v>7292</v>
      </c>
      <c r="E51" t="s">
        <v>27</v>
      </c>
    </row>
    <row r="52" spans="1:5" x14ac:dyDescent="0.35">
      <c r="A52" t="s">
        <v>133</v>
      </c>
      <c r="B52" t="s">
        <v>110</v>
      </c>
      <c r="C52" s="24">
        <v>44889</v>
      </c>
      <c r="D52" s="22">
        <v>4172</v>
      </c>
      <c r="E52" t="s">
        <v>27</v>
      </c>
    </row>
    <row r="53" spans="1:5" x14ac:dyDescent="0.35">
      <c r="A53" t="s">
        <v>134</v>
      </c>
      <c r="B53" t="s">
        <v>350</v>
      </c>
      <c r="C53" s="24">
        <v>44895</v>
      </c>
      <c r="D53" s="22">
        <v>2943</v>
      </c>
      <c r="E53" t="s">
        <v>4</v>
      </c>
    </row>
    <row r="54" spans="1:5" x14ac:dyDescent="0.35">
      <c r="A54" t="s">
        <v>135</v>
      </c>
      <c r="B54" t="s">
        <v>127</v>
      </c>
      <c r="C54" s="24">
        <v>44948</v>
      </c>
      <c r="D54" s="22">
        <v>13460</v>
      </c>
      <c r="E54" t="s">
        <v>27</v>
      </c>
    </row>
    <row r="55" spans="1:5" x14ac:dyDescent="0.35">
      <c r="A55" t="s">
        <v>136</v>
      </c>
      <c r="B55" t="s">
        <v>305</v>
      </c>
      <c r="C55" s="24">
        <v>44912</v>
      </c>
      <c r="D55" s="22">
        <v>16662</v>
      </c>
      <c r="E55" t="s">
        <v>27</v>
      </c>
    </row>
    <row r="56" spans="1:5" x14ac:dyDescent="0.35">
      <c r="A56" t="s">
        <v>137</v>
      </c>
      <c r="B56" t="s">
        <v>350</v>
      </c>
      <c r="C56" s="24">
        <v>44895</v>
      </c>
      <c r="D56" s="22">
        <v>2665</v>
      </c>
      <c r="E56" t="s">
        <v>745</v>
      </c>
    </row>
    <row r="57" spans="1:5" x14ac:dyDescent="0.35">
      <c r="A57" t="s">
        <v>138</v>
      </c>
      <c r="B57" t="s">
        <v>81</v>
      </c>
      <c r="C57" s="24">
        <v>44877</v>
      </c>
      <c r="D57" s="22">
        <v>5027</v>
      </c>
      <c r="E57" t="s">
        <v>4</v>
      </c>
    </row>
    <row r="58" spans="1:5" x14ac:dyDescent="0.35">
      <c r="A58" t="s">
        <v>139</v>
      </c>
      <c r="B58" t="s">
        <v>305</v>
      </c>
      <c r="C58" s="24">
        <v>44940</v>
      </c>
      <c r="D58" s="22">
        <v>5438</v>
      </c>
      <c r="E58" t="s">
        <v>4</v>
      </c>
    </row>
    <row r="59" spans="1:5" x14ac:dyDescent="0.35">
      <c r="A59" t="s">
        <v>140</v>
      </c>
      <c r="B59" t="s">
        <v>361</v>
      </c>
      <c r="C59" s="24">
        <v>44870</v>
      </c>
      <c r="D59" s="22">
        <v>1373</v>
      </c>
      <c r="E59" t="s">
        <v>27</v>
      </c>
    </row>
    <row r="60" spans="1:5" x14ac:dyDescent="0.35">
      <c r="A60" t="s">
        <v>141</v>
      </c>
      <c r="B60" t="s">
        <v>350</v>
      </c>
      <c r="C60" s="24">
        <v>44956</v>
      </c>
      <c r="D60" s="22">
        <v>12687</v>
      </c>
      <c r="E60" t="s">
        <v>4</v>
      </c>
    </row>
    <row r="61" spans="1:5" x14ac:dyDescent="0.35">
      <c r="A61" t="s">
        <v>142</v>
      </c>
      <c r="B61" t="s">
        <v>110</v>
      </c>
      <c r="C61" s="24">
        <v>44872</v>
      </c>
      <c r="D61" s="22">
        <v>8356</v>
      </c>
      <c r="E61" t="s">
        <v>745</v>
      </c>
    </row>
    <row r="62" spans="1:5" x14ac:dyDescent="0.35">
      <c r="A62" t="s">
        <v>143</v>
      </c>
      <c r="B62" t="s">
        <v>110</v>
      </c>
      <c r="C62" s="24">
        <v>44887</v>
      </c>
      <c r="D62" s="22">
        <v>19525</v>
      </c>
      <c r="E62" t="s">
        <v>27</v>
      </c>
    </row>
    <row r="63" spans="1:5" x14ac:dyDescent="0.35">
      <c r="A63" t="s">
        <v>144</v>
      </c>
      <c r="B63" t="s">
        <v>81</v>
      </c>
      <c r="C63" s="24">
        <v>44950</v>
      </c>
      <c r="D63" s="22">
        <v>6406</v>
      </c>
      <c r="E63" t="s">
        <v>745</v>
      </c>
    </row>
    <row r="64" spans="1:5" x14ac:dyDescent="0.35">
      <c r="A64" t="s">
        <v>145</v>
      </c>
      <c r="B64" t="s">
        <v>305</v>
      </c>
      <c r="C64" s="24">
        <v>44875</v>
      </c>
      <c r="D64" s="22">
        <v>15977</v>
      </c>
      <c r="E64" t="s">
        <v>745</v>
      </c>
    </row>
    <row r="65" spans="1:5" x14ac:dyDescent="0.35">
      <c r="A65" t="s">
        <v>146</v>
      </c>
      <c r="B65" t="s">
        <v>425</v>
      </c>
      <c r="C65" s="24">
        <v>44883</v>
      </c>
      <c r="D65" s="22">
        <v>3228</v>
      </c>
      <c r="E65" t="s">
        <v>4</v>
      </c>
    </row>
    <row r="66" spans="1:5" x14ac:dyDescent="0.35">
      <c r="A66" t="s">
        <v>147</v>
      </c>
      <c r="B66" t="s">
        <v>350</v>
      </c>
      <c r="C66" s="24">
        <v>44869</v>
      </c>
      <c r="D66" s="22">
        <v>11606</v>
      </c>
      <c r="E66" t="s">
        <v>745</v>
      </c>
    </row>
    <row r="67" spans="1:5" x14ac:dyDescent="0.35">
      <c r="A67" t="s">
        <v>148</v>
      </c>
      <c r="B67" t="s">
        <v>127</v>
      </c>
      <c r="C67" s="24">
        <v>44951</v>
      </c>
      <c r="D67" s="22">
        <v>1421</v>
      </c>
      <c r="E67" t="s">
        <v>27</v>
      </c>
    </row>
    <row r="68" spans="1:5" x14ac:dyDescent="0.35">
      <c r="A68" t="s">
        <v>149</v>
      </c>
      <c r="B68" t="s">
        <v>305</v>
      </c>
      <c r="C68" s="24">
        <v>44879</v>
      </c>
      <c r="D68" s="22">
        <v>13641</v>
      </c>
      <c r="E68" t="s">
        <v>4</v>
      </c>
    </row>
    <row r="69" spans="1:5" x14ac:dyDescent="0.35">
      <c r="A69" t="s">
        <v>150</v>
      </c>
      <c r="B69" t="s">
        <v>361</v>
      </c>
      <c r="C69" s="24">
        <v>44891</v>
      </c>
      <c r="D69" s="22">
        <v>4206</v>
      </c>
      <c r="E69" t="s">
        <v>4</v>
      </c>
    </row>
    <row r="70" spans="1:5" x14ac:dyDescent="0.35">
      <c r="A70" t="s">
        <v>151</v>
      </c>
      <c r="B70" t="s">
        <v>110</v>
      </c>
      <c r="C70" s="24">
        <v>44897</v>
      </c>
      <c r="D70" s="22">
        <v>8916</v>
      </c>
      <c r="E70" t="s">
        <v>27</v>
      </c>
    </row>
    <row r="71" spans="1:5" x14ac:dyDescent="0.35">
      <c r="A71" t="s">
        <v>152</v>
      </c>
      <c r="B71" t="s">
        <v>110</v>
      </c>
      <c r="C71" s="24">
        <v>44902</v>
      </c>
      <c r="D71" s="22">
        <v>10734</v>
      </c>
      <c r="E71" t="s">
        <v>4</v>
      </c>
    </row>
    <row r="72" spans="1:5" x14ac:dyDescent="0.35">
      <c r="A72" t="s">
        <v>153</v>
      </c>
      <c r="B72" t="s">
        <v>110</v>
      </c>
      <c r="C72" s="24">
        <v>44934</v>
      </c>
      <c r="D72" s="22">
        <v>6795</v>
      </c>
      <c r="E72" t="s">
        <v>4</v>
      </c>
    </row>
    <row r="73" spans="1:5" x14ac:dyDescent="0.35">
      <c r="A73" t="s">
        <v>154</v>
      </c>
      <c r="B73" t="s">
        <v>127</v>
      </c>
      <c r="C73" s="24">
        <v>44867</v>
      </c>
      <c r="D73" s="22">
        <v>15614</v>
      </c>
      <c r="E73" t="s">
        <v>745</v>
      </c>
    </row>
    <row r="74" spans="1:5" x14ac:dyDescent="0.35">
      <c r="A74" t="s">
        <v>155</v>
      </c>
      <c r="B74" t="s">
        <v>305</v>
      </c>
      <c r="C74" s="24">
        <v>44915</v>
      </c>
      <c r="D74" s="22">
        <v>1017</v>
      </c>
      <c r="E74" t="s">
        <v>745</v>
      </c>
    </row>
    <row r="75" spans="1:5" x14ac:dyDescent="0.35">
      <c r="A75" t="s">
        <v>156</v>
      </c>
      <c r="B75" t="s">
        <v>425</v>
      </c>
      <c r="C75" s="24">
        <v>44909</v>
      </c>
      <c r="D75" s="22">
        <v>17339</v>
      </c>
      <c r="E75" t="s">
        <v>745</v>
      </c>
    </row>
    <row r="76" spans="1:5" x14ac:dyDescent="0.35">
      <c r="A76" t="s">
        <v>157</v>
      </c>
      <c r="B76" t="s">
        <v>110</v>
      </c>
      <c r="C76" s="24">
        <v>44909</v>
      </c>
      <c r="D76" s="22">
        <v>17939</v>
      </c>
      <c r="E76" t="s">
        <v>745</v>
      </c>
    </row>
    <row r="77" spans="1:5" x14ac:dyDescent="0.35">
      <c r="A77" t="s">
        <v>158</v>
      </c>
      <c r="B77" t="s">
        <v>127</v>
      </c>
      <c r="C77" s="24">
        <v>44911</v>
      </c>
      <c r="D77" s="22">
        <v>4292</v>
      </c>
      <c r="E77" t="s">
        <v>4</v>
      </c>
    </row>
    <row r="78" spans="1:5" x14ac:dyDescent="0.35">
      <c r="A78" t="s">
        <v>159</v>
      </c>
      <c r="B78" t="s">
        <v>425</v>
      </c>
      <c r="C78" s="24">
        <v>44875</v>
      </c>
      <c r="D78" s="22">
        <v>8975</v>
      </c>
      <c r="E78" t="s">
        <v>4</v>
      </c>
    </row>
    <row r="79" spans="1:5" x14ac:dyDescent="0.35">
      <c r="A79" t="s">
        <v>160</v>
      </c>
      <c r="B79" t="s">
        <v>425</v>
      </c>
      <c r="C79" s="24">
        <v>44884</v>
      </c>
      <c r="D79" s="22">
        <v>18397</v>
      </c>
      <c r="E79" t="s">
        <v>745</v>
      </c>
    </row>
    <row r="80" spans="1:5" x14ac:dyDescent="0.35">
      <c r="A80" t="s">
        <v>161</v>
      </c>
      <c r="B80" t="s">
        <v>127</v>
      </c>
      <c r="C80" s="24">
        <v>44872</v>
      </c>
      <c r="D80" s="22">
        <v>16951</v>
      </c>
      <c r="E80" t="s">
        <v>27</v>
      </c>
    </row>
    <row r="81" spans="1:5" x14ac:dyDescent="0.35">
      <c r="A81" t="s">
        <v>162</v>
      </c>
      <c r="B81" t="s">
        <v>350</v>
      </c>
      <c r="C81" s="24">
        <v>44944</v>
      </c>
      <c r="D81" s="22">
        <v>9083</v>
      </c>
      <c r="E81" t="s">
        <v>27</v>
      </c>
    </row>
    <row r="82" spans="1:5" x14ac:dyDescent="0.35">
      <c r="A82" t="s">
        <v>163</v>
      </c>
      <c r="B82" t="s">
        <v>110</v>
      </c>
      <c r="C82" s="24">
        <v>44922</v>
      </c>
      <c r="D82" s="22">
        <v>2891</v>
      </c>
      <c r="E82" t="s">
        <v>27</v>
      </c>
    </row>
    <row r="83" spans="1:5" x14ac:dyDescent="0.35">
      <c r="A83" t="s">
        <v>164</v>
      </c>
      <c r="B83" t="s">
        <v>81</v>
      </c>
      <c r="C83" s="24">
        <v>44935</v>
      </c>
      <c r="D83" s="22">
        <v>3912</v>
      </c>
      <c r="E83" t="s">
        <v>745</v>
      </c>
    </row>
    <row r="84" spans="1:5" x14ac:dyDescent="0.35">
      <c r="A84" t="s">
        <v>165</v>
      </c>
      <c r="B84" t="s">
        <v>350</v>
      </c>
      <c r="C84" s="24">
        <v>44866</v>
      </c>
      <c r="D84" s="22">
        <v>16032</v>
      </c>
      <c r="E84" t="s">
        <v>4</v>
      </c>
    </row>
    <row r="85" spans="1:5" x14ac:dyDescent="0.35">
      <c r="A85" t="s">
        <v>166</v>
      </c>
      <c r="B85" t="s">
        <v>127</v>
      </c>
      <c r="C85" s="24">
        <v>44910</v>
      </c>
      <c r="D85" s="22">
        <v>9773</v>
      </c>
      <c r="E85" t="s">
        <v>4</v>
      </c>
    </row>
    <row r="86" spans="1:5" x14ac:dyDescent="0.35">
      <c r="A86" t="s">
        <v>167</v>
      </c>
      <c r="B86" t="s">
        <v>361</v>
      </c>
      <c r="C86" s="24">
        <v>44868</v>
      </c>
      <c r="D86" s="22">
        <v>12734</v>
      </c>
      <c r="E86" t="s">
        <v>745</v>
      </c>
    </row>
    <row r="87" spans="1:5" x14ac:dyDescent="0.35">
      <c r="A87" t="s">
        <v>168</v>
      </c>
      <c r="B87" t="s">
        <v>425</v>
      </c>
      <c r="C87" s="24">
        <v>44931</v>
      </c>
      <c r="D87" s="22">
        <v>5561</v>
      </c>
      <c r="E87" t="s">
        <v>4</v>
      </c>
    </row>
    <row r="88" spans="1:5" x14ac:dyDescent="0.35">
      <c r="A88" t="s">
        <v>169</v>
      </c>
      <c r="B88" t="s">
        <v>305</v>
      </c>
      <c r="C88" s="24">
        <v>44945</v>
      </c>
      <c r="D88" s="22">
        <v>3590</v>
      </c>
      <c r="E88" t="s">
        <v>27</v>
      </c>
    </row>
    <row r="89" spans="1:5" x14ac:dyDescent="0.35">
      <c r="A89" t="s">
        <v>170</v>
      </c>
      <c r="B89" t="s">
        <v>305</v>
      </c>
      <c r="C89" s="24">
        <v>44925</v>
      </c>
      <c r="D89" s="22">
        <v>13155</v>
      </c>
      <c r="E89" t="s">
        <v>745</v>
      </c>
    </row>
    <row r="90" spans="1:5" x14ac:dyDescent="0.35">
      <c r="A90" t="s">
        <v>171</v>
      </c>
      <c r="B90" t="s">
        <v>110</v>
      </c>
      <c r="C90" s="24">
        <v>44917</v>
      </c>
      <c r="D90" s="22">
        <v>18016</v>
      </c>
      <c r="E90" t="s">
        <v>745</v>
      </c>
    </row>
    <row r="91" spans="1:5" x14ac:dyDescent="0.35">
      <c r="A91" t="s">
        <v>172</v>
      </c>
      <c r="B91" t="s">
        <v>350</v>
      </c>
      <c r="C91" s="24">
        <v>44903</v>
      </c>
      <c r="D91" s="22">
        <v>19192</v>
      </c>
      <c r="E91" t="s">
        <v>4</v>
      </c>
    </row>
    <row r="92" spans="1:5" x14ac:dyDescent="0.35">
      <c r="A92" t="s">
        <v>173</v>
      </c>
      <c r="B92" t="s">
        <v>425</v>
      </c>
      <c r="C92" s="24">
        <v>44868</v>
      </c>
      <c r="D92" s="22">
        <v>16909</v>
      </c>
      <c r="E92" t="s">
        <v>4</v>
      </c>
    </row>
    <row r="93" spans="1:5" x14ac:dyDescent="0.35">
      <c r="A93" t="s">
        <v>174</v>
      </c>
      <c r="B93" t="s">
        <v>361</v>
      </c>
      <c r="C93" s="24">
        <v>44932</v>
      </c>
      <c r="D93" s="22">
        <v>14028</v>
      </c>
      <c r="E93" t="s">
        <v>27</v>
      </c>
    </row>
    <row r="94" spans="1:5" x14ac:dyDescent="0.35">
      <c r="A94" t="s">
        <v>175</v>
      </c>
      <c r="B94" t="s">
        <v>361</v>
      </c>
      <c r="C94" s="24">
        <v>44909</v>
      </c>
      <c r="D94" s="22">
        <v>6054</v>
      </c>
      <c r="E94" t="s">
        <v>27</v>
      </c>
    </row>
    <row r="95" spans="1:5" x14ac:dyDescent="0.35">
      <c r="A95" t="s">
        <v>176</v>
      </c>
      <c r="B95" t="s">
        <v>361</v>
      </c>
      <c r="C95" s="24">
        <v>44951</v>
      </c>
      <c r="D95" s="22">
        <v>15417</v>
      </c>
      <c r="E95" t="s">
        <v>745</v>
      </c>
    </row>
    <row r="96" spans="1:5" x14ac:dyDescent="0.35">
      <c r="A96" t="s">
        <v>177</v>
      </c>
      <c r="B96" t="s">
        <v>361</v>
      </c>
      <c r="C96" s="24">
        <v>44877</v>
      </c>
      <c r="D96" s="22">
        <v>5773</v>
      </c>
      <c r="E96" t="s">
        <v>745</v>
      </c>
    </row>
    <row r="97" spans="1:5" x14ac:dyDescent="0.35">
      <c r="A97" t="s">
        <v>178</v>
      </c>
      <c r="B97" t="s">
        <v>361</v>
      </c>
      <c r="C97" s="24">
        <v>44930</v>
      </c>
      <c r="D97" s="22">
        <v>6192</v>
      </c>
      <c r="E97" t="s">
        <v>4</v>
      </c>
    </row>
    <row r="98" spans="1:5" x14ac:dyDescent="0.35">
      <c r="A98" t="s">
        <v>179</v>
      </c>
      <c r="B98" t="s">
        <v>81</v>
      </c>
      <c r="C98" s="24">
        <v>44927</v>
      </c>
      <c r="D98" s="22">
        <v>10880</v>
      </c>
      <c r="E98" t="s">
        <v>745</v>
      </c>
    </row>
    <row r="99" spans="1:5" x14ac:dyDescent="0.35">
      <c r="A99" t="s">
        <v>180</v>
      </c>
      <c r="B99" t="s">
        <v>361</v>
      </c>
      <c r="C99" s="24">
        <v>44932</v>
      </c>
      <c r="D99" s="22">
        <v>15466</v>
      </c>
      <c r="E99" t="s">
        <v>4</v>
      </c>
    </row>
    <row r="100" spans="1:5" x14ac:dyDescent="0.35">
      <c r="A100" t="s">
        <v>181</v>
      </c>
      <c r="B100" t="s">
        <v>305</v>
      </c>
      <c r="C100" s="24">
        <v>44913</v>
      </c>
      <c r="D100" s="22">
        <v>11611</v>
      </c>
      <c r="E100" t="s">
        <v>745</v>
      </c>
    </row>
    <row r="101" spans="1:5" x14ac:dyDescent="0.35">
      <c r="A101" t="s">
        <v>182</v>
      </c>
      <c r="B101" t="s">
        <v>425</v>
      </c>
      <c r="C101" s="24">
        <v>44942</v>
      </c>
      <c r="D101" s="22">
        <v>3372</v>
      </c>
      <c r="E101" t="s">
        <v>4</v>
      </c>
    </row>
    <row r="102" spans="1:5" x14ac:dyDescent="0.35">
      <c r="A102" t="s">
        <v>183</v>
      </c>
      <c r="B102" t="s">
        <v>127</v>
      </c>
      <c r="C102" s="24">
        <v>44907</v>
      </c>
      <c r="D102" s="22">
        <v>15712</v>
      </c>
      <c r="E102" t="s">
        <v>745</v>
      </c>
    </row>
    <row r="103" spans="1:5" x14ac:dyDescent="0.35">
      <c r="A103" t="s">
        <v>184</v>
      </c>
      <c r="B103" t="s">
        <v>361</v>
      </c>
      <c r="C103" s="24">
        <v>44896</v>
      </c>
      <c r="D103" s="22">
        <v>17454</v>
      </c>
      <c r="E103" t="s">
        <v>27</v>
      </c>
    </row>
    <row r="104" spans="1:5" x14ac:dyDescent="0.35">
      <c r="A104" t="s">
        <v>185</v>
      </c>
      <c r="B104" t="s">
        <v>110</v>
      </c>
      <c r="C104" s="24">
        <v>44942</v>
      </c>
      <c r="D104" s="22">
        <v>13980</v>
      </c>
      <c r="E104" t="s">
        <v>27</v>
      </c>
    </row>
    <row r="105" spans="1:5" x14ac:dyDescent="0.35">
      <c r="A105" t="s">
        <v>186</v>
      </c>
      <c r="B105" t="s">
        <v>110</v>
      </c>
      <c r="C105" s="24">
        <v>44930</v>
      </c>
      <c r="D105" s="22">
        <v>5588</v>
      </c>
      <c r="E105" t="s">
        <v>4</v>
      </c>
    </row>
    <row r="106" spans="1:5" x14ac:dyDescent="0.35">
      <c r="A106" t="s">
        <v>187</v>
      </c>
      <c r="B106" t="s">
        <v>361</v>
      </c>
      <c r="C106" s="24">
        <v>44899</v>
      </c>
      <c r="D106" s="22">
        <v>12010</v>
      </c>
      <c r="E106" t="s">
        <v>745</v>
      </c>
    </row>
    <row r="107" spans="1:5" x14ac:dyDescent="0.35">
      <c r="A107" t="s">
        <v>188</v>
      </c>
      <c r="B107" t="s">
        <v>305</v>
      </c>
      <c r="C107" s="24">
        <v>44934</v>
      </c>
      <c r="D107" s="22">
        <v>14619</v>
      </c>
      <c r="E107" t="s">
        <v>27</v>
      </c>
    </row>
    <row r="108" spans="1:5" x14ac:dyDescent="0.35">
      <c r="A108" t="s">
        <v>189</v>
      </c>
      <c r="B108" t="s">
        <v>305</v>
      </c>
      <c r="C108" s="24">
        <v>44919</v>
      </c>
      <c r="D108" s="22">
        <v>2531</v>
      </c>
      <c r="E108" t="s">
        <v>4</v>
      </c>
    </row>
    <row r="109" spans="1:5" x14ac:dyDescent="0.35">
      <c r="A109" t="s">
        <v>190</v>
      </c>
      <c r="B109" t="s">
        <v>81</v>
      </c>
      <c r="C109" s="24">
        <v>44910</v>
      </c>
      <c r="D109" s="22">
        <v>7682</v>
      </c>
      <c r="E109" t="s">
        <v>27</v>
      </c>
    </row>
    <row r="110" spans="1:5" x14ac:dyDescent="0.35">
      <c r="A110" t="s">
        <v>191</v>
      </c>
      <c r="B110" t="s">
        <v>361</v>
      </c>
      <c r="C110" s="24">
        <v>44956</v>
      </c>
      <c r="D110" s="22">
        <v>15925</v>
      </c>
      <c r="E110" t="s">
        <v>27</v>
      </c>
    </row>
    <row r="111" spans="1:5" x14ac:dyDescent="0.35">
      <c r="A111" t="s">
        <v>192</v>
      </c>
      <c r="B111" t="s">
        <v>110</v>
      </c>
      <c r="C111" s="24">
        <v>44910</v>
      </c>
      <c r="D111" s="22">
        <v>3501</v>
      </c>
      <c r="E111" t="s">
        <v>745</v>
      </c>
    </row>
    <row r="112" spans="1:5" x14ac:dyDescent="0.35">
      <c r="A112" t="s">
        <v>193</v>
      </c>
      <c r="B112" t="s">
        <v>361</v>
      </c>
      <c r="C112" s="24">
        <v>44937</v>
      </c>
      <c r="D112" s="22">
        <v>7700</v>
      </c>
      <c r="E112" t="s">
        <v>27</v>
      </c>
    </row>
    <row r="113" spans="1:5" x14ac:dyDescent="0.35">
      <c r="A113" t="s">
        <v>194</v>
      </c>
      <c r="B113" t="s">
        <v>350</v>
      </c>
      <c r="C113" s="24">
        <v>44882</v>
      </c>
      <c r="D113" s="22">
        <v>12379</v>
      </c>
      <c r="E113" t="s">
        <v>745</v>
      </c>
    </row>
    <row r="114" spans="1:5" x14ac:dyDescent="0.35">
      <c r="A114" t="s">
        <v>195</v>
      </c>
      <c r="B114" t="s">
        <v>361</v>
      </c>
      <c r="C114" s="24">
        <v>44918</v>
      </c>
      <c r="D114" s="22">
        <v>8039</v>
      </c>
      <c r="E114" t="s">
        <v>27</v>
      </c>
    </row>
    <row r="115" spans="1:5" x14ac:dyDescent="0.35">
      <c r="A115" t="s">
        <v>196</v>
      </c>
      <c r="B115" t="s">
        <v>361</v>
      </c>
      <c r="C115" s="24">
        <v>44896</v>
      </c>
      <c r="D115" s="22">
        <v>9212</v>
      </c>
      <c r="E115" t="s">
        <v>4</v>
      </c>
    </row>
    <row r="116" spans="1:5" x14ac:dyDescent="0.35">
      <c r="A116" t="s">
        <v>197</v>
      </c>
      <c r="B116" t="s">
        <v>110</v>
      </c>
      <c r="C116" s="24">
        <v>44937</v>
      </c>
      <c r="D116" s="22">
        <v>8677</v>
      </c>
      <c r="E116" t="s">
        <v>4</v>
      </c>
    </row>
    <row r="117" spans="1:5" x14ac:dyDescent="0.35">
      <c r="A117" t="s">
        <v>198</v>
      </c>
      <c r="B117" t="s">
        <v>305</v>
      </c>
      <c r="C117" s="24">
        <v>44950</v>
      </c>
      <c r="D117" s="22">
        <v>6957</v>
      </c>
      <c r="E117" t="s">
        <v>4</v>
      </c>
    </row>
    <row r="118" spans="1:5" x14ac:dyDescent="0.35">
      <c r="A118" t="s">
        <v>199</v>
      </c>
      <c r="B118" t="s">
        <v>127</v>
      </c>
      <c r="C118" s="24">
        <v>44935</v>
      </c>
      <c r="D118" s="22">
        <v>2693</v>
      </c>
      <c r="E118" t="s">
        <v>4</v>
      </c>
    </row>
    <row r="119" spans="1:5" x14ac:dyDescent="0.35">
      <c r="A119" t="s">
        <v>200</v>
      </c>
      <c r="B119" t="s">
        <v>127</v>
      </c>
      <c r="C119" s="24">
        <v>44935</v>
      </c>
      <c r="D119" s="22">
        <v>7190</v>
      </c>
      <c r="E119" t="s">
        <v>4</v>
      </c>
    </row>
    <row r="120" spans="1:5" x14ac:dyDescent="0.35">
      <c r="A120" t="s">
        <v>201</v>
      </c>
      <c r="B120" t="s">
        <v>127</v>
      </c>
      <c r="C120" s="24">
        <v>44894</v>
      </c>
      <c r="D120" s="22">
        <v>1702</v>
      </c>
      <c r="E120" t="s">
        <v>27</v>
      </c>
    </row>
    <row r="121" spans="1:5" x14ac:dyDescent="0.35">
      <c r="A121" t="s">
        <v>202</v>
      </c>
      <c r="B121" t="s">
        <v>361</v>
      </c>
      <c r="C121" s="24">
        <v>44910</v>
      </c>
      <c r="D121" s="22">
        <v>15953</v>
      </c>
      <c r="E121" t="s">
        <v>745</v>
      </c>
    </row>
    <row r="122" spans="1:5" x14ac:dyDescent="0.35">
      <c r="A122" t="s">
        <v>203</v>
      </c>
      <c r="B122" t="s">
        <v>305</v>
      </c>
      <c r="C122" s="24">
        <v>44866</v>
      </c>
      <c r="D122" s="22">
        <v>12799</v>
      </c>
      <c r="E122" t="s">
        <v>4</v>
      </c>
    </row>
    <row r="123" spans="1:5" x14ac:dyDescent="0.35">
      <c r="A123" t="s">
        <v>204</v>
      </c>
      <c r="B123" t="s">
        <v>127</v>
      </c>
      <c r="C123" s="24">
        <v>44947</v>
      </c>
      <c r="D123" s="22">
        <v>5882</v>
      </c>
      <c r="E123" t="s">
        <v>27</v>
      </c>
    </row>
    <row r="124" spans="1:5" x14ac:dyDescent="0.35">
      <c r="A124" t="s">
        <v>205</v>
      </c>
      <c r="B124" t="s">
        <v>127</v>
      </c>
      <c r="C124" s="24">
        <v>44883</v>
      </c>
      <c r="D124" s="22">
        <v>3489</v>
      </c>
      <c r="E124" t="s">
        <v>27</v>
      </c>
    </row>
    <row r="125" spans="1:5" x14ac:dyDescent="0.35">
      <c r="A125" t="s">
        <v>206</v>
      </c>
      <c r="B125" t="s">
        <v>81</v>
      </c>
      <c r="C125" s="24">
        <v>44910</v>
      </c>
      <c r="D125" s="22">
        <v>1960</v>
      </c>
      <c r="E125" t="s">
        <v>27</v>
      </c>
    </row>
    <row r="126" spans="1:5" x14ac:dyDescent="0.35">
      <c r="A126" t="s">
        <v>207</v>
      </c>
      <c r="B126" t="s">
        <v>127</v>
      </c>
      <c r="C126" s="24">
        <v>44949</v>
      </c>
      <c r="D126" s="22">
        <v>16978</v>
      </c>
      <c r="E126" t="s">
        <v>4</v>
      </c>
    </row>
    <row r="127" spans="1:5" x14ac:dyDescent="0.35">
      <c r="A127" t="s">
        <v>208</v>
      </c>
      <c r="B127" t="s">
        <v>361</v>
      </c>
      <c r="C127" s="24">
        <v>44954</v>
      </c>
      <c r="D127" s="22">
        <v>15840</v>
      </c>
      <c r="E127" t="s">
        <v>27</v>
      </c>
    </row>
    <row r="128" spans="1:5" x14ac:dyDescent="0.35">
      <c r="A128" t="s">
        <v>209</v>
      </c>
      <c r="B128" t="s">
        <v>81</v>
      </c>
      <c r="C128" s="24">
        <v>44870</v>
      </c>
      <c r="D128" s="22">
        <v>11007</v>
      </c>
      <c r="E128" t="s">
        <v>27</v>
      </c>
    </row>
    <row r="129" spans="1:5" x14ac:dyDescent="0.35">
      <c r="A129" t="s">
        <v>210</v>
      </c>
      <c r="B129" t="s">
        <v>81</v>
      </c>
      <c r="C129" s="24">
        <v>44900</v>
      </c>
      <c r="D129" s="22">
        <v>2762</v>
      </c>
      <c r="E129" t="s">
        <v>27</v>
      </c>
    </row>
    <row r="130" spans="1:5" x14ac:dyDescent="0.35">
      <c r="A130" t="s">
        <v>211</v>
      </c>
      <c r="B130" t="s">
        <v>110</v>
      </c>
      <c r="C130" s="24">
        <v>44952</v>
      </c>
      <c r="D130" s="22">
        <v>6494</v>
      </c>
      <c r="E130" t="s">
        <v>27</v>
      </c>
    </row>
    <row r="131" spans="1:5" x14ac:dyDescent="0.35">
      <c r="A131" t="s">
        <v>212</v>
      </c>
      <c r="B131" t="s">
        <v>110</v>
      </c>
      <c r="C131" s="24">
        <v>44874</v>
      </c>
      <c r="D131" s="22">
        <v>14042</v>
      </c>
      <c r="E131" t="s">
        <v>745</v>
      </c>
    </row>
    <row r="132" spans="1:5" x14ac:dyDescent="0.35">
      <c r="A132" t="s">
        <v>213</v>
      </c>
      <c r="B132" t="s">
        <v>361</v>
      </c>
      <c r="C132" s="24">
        <v>44883</v>
      </c>
      <c r="D132" s="22">
        <v>18066</v>
      </c>
      <c r="E132" t="s">
        <v>745</v>
      </c>
    </row>
    <row r="133" spans="1:5" x14ac:dyDescent="0.35">
      <c r="A133" t="s">
        <v>214</v>
      </c>
      <c r="B133" t="s">
        <v>127</v>
      </c>
      <c r="C133" s="24">
        <v>44884</v>
      </c>
      <c r="D133" s="22">
        <v>18119</v>
      </c>
      <c r="E133" t="s">
        <v>27</v>
      </c>
    </row>
    <row r="134" spans="1:5" x14ac:dyDescent="0.35">
      <c r="A134" t="s">
        <v>215</v>
      </c>
      <c r="B134" t="s">
        <v>361</v>
      </c>
      <c r="C134" s="24">
        <v>44902</v>
      </c>
      <c r="D134" s="22">
        <v>16003</v>
      </c>
      <c r="E134" t="s">
        <v>4</v>
      </c>
    </row>
    <row r="135" spans="1:5" x14ac:dyDescent="0.35">
      <c r="A135" t="s">
        <v>216</v>
      </c>
      <c r="B135" t="s">
        <v>350</v>
      </c>
      <c r="C135" s="24">
        <v>44891</v>
      </c>
      <c r="D135" s="22">
        <v>17271</v>
      </c>
      <c r="E135" t="s">
        <v>4</v>
      </c>
    </row>
    <row r="136" spans="1:5" x14ac:dyDescent="0.35">
      <c r="A136" t="s">
        <v>217</v>
      </c>
      <c r="B136" t="s">
        <v>305</v>
      </c>
      <c r="C136" s="24">
        <v>44940</v>
      </c>
      <c r="D136" s="22">
        <v>15404</v>
      </c>
      <c r="E136" t="s">
        <v>745</v>
      </c>
    </row>
    <row r="137" spans="1:5" x14ac:dyDescent="0.35">
      <c r="A137" t="s">
        <v>218</v>
      </c>
      <c r="B137" t="s">
        <v>81</v>
      </c>
      <c r="C137" s="24">
        <v>44912</v>
      </c>
      <c r="D137" s="22">
        <v>9199</v>
      </c>
      <c r="E137" t="s">
        <v>745</v>
      </c>
    </row>
    <row r="138" spans="1:5" x14ac:dyDescent="0.35">
      <c r="A138" t="s">
        <v>219</v>
      </c>
      <c r="B138" t="s">
        <v>350</v>
      </c>
      <c r="C138" s="24">
        <v>44917</v>
      </c>
      <c r="D138" s="22">
        <v>9376</v>
      </c>
      <c r="E138" t="s">
        <v>4</v>
      </c>
    </row>
    <row r="139" spans="1:5" x14ac:dyDescent="0.35">
      <c r="A139" t="s">
        <v>220</v>
      </c>
      <c r="B139" t="s">
        <v>81</v>
      </c>
      <c r="C139" s="24">
        <v>44933</v>
      </c>
      <c r="D139" s="22">
        <v>2011</v>
      </c>
      <c r="E139" t="s">
        <v>4</v>
      </c>
    </row>
    <row r="140" spans="1:5" x14ac:dyDescent="0.35">
      <c r="A140" t="s">
        <v>221</v>
      </c>
      <c r="B140" t="s">
        <v>127</v>
      </c>
      <c r="C140" s="24">
        <v>44937</v>
      </c>
      <c r="D140" s="22">
        <v>6430</v>
      </c>
      <c r="E140" t="s">
        <v>745</v>
      </c>
    </row>
    <row r="141" spans="1:5" x14ac:dyDescent="0.35">
      <c r="A141" t="s">
        <v>222</v>
      </c>
      <c r="B141" t="s">
        <v>350</v>
      </c>
      <c r="C141" s="24">
        <v>44897</v>
      </c>
      <c r="D141" s="22">
        <v>9668</v>
      </c>
      <c r="E141" t="s">
        <v>4</v>
      </c>
    </row>
    <row r="142" spans="1:5" x14ac:dyDescent="0.35">
      <c r="A142" t="s">
        <v>223</v>
      </c>
      <c r="B142" t="s">
        <v>425</v>
      </c>
      <c r="C142" s="24">
        <v>44934</v>
      </c>
      <c r="D142" s="22">
        <v>19784</v>
      </c>
      <c r="E142" t="s">
        <v>4</v>
      </c>
    </row>
    <row r="143" spans="1:5" x14ac:dyDescent="0.35">
      <c r="A143" t="s">
        <v>224</v>
      </c>
      <c r="B143" t="s">
        <v>305</v>
      </c>
      <c r="C143" s="24">
        <v>44923</v>
      </c>
      <c r="D143" s="22">
        <v>12702</v>
      </c>
      <c r="E143" t="s">
        <v>4</v>
      </c>
    </row>
    <row r="144" spans="1:5" x14ac:dyDescent="0.35">
      <c r="A144" t="s">
        <v>225</v>
      </c>
      <c r="B144" t="s">
        <v>425</v>
      </c>
      <c r="C144" s="24">
        <v>44897</v>
      </c>
      <c r="D144" s="22">
        <v>18181</v>
      </c>
      <c r="E144" t="s">
        <v>27</v>
      </c>
    </row>
    <row r="145" spans="1:5" x14ac:dyDescent="0.35">
      <c r="A145" t="s">
        <v>226</v>
      </c>
      <c r="B145" t="s">
        <v>305</v>
      </c>
      <c r="C145" s="24">
        <v>44920</v>
      </c>
      <c r="D145" s="22">
        <v>6358</v>
      </c>
      <c r="E145" t="s">
        <v>745</v>
      </c>
    </row>
    <row r="146" spans="1:5" x14ac:dyDescent="0.35">
      <c r="A146" t="s">
        <v>227</v>
      </c>
      <c r="B146" t="s">
        <v>305</v>
      </c>
      <c r="C146" s="24">
        <v>44894</v>
      </c>
      <c r="D146" s="22">
        <v>1435</v>
      </c>
      <c r="E146" t="s">
        <v>745</v>
      </c>
    </row>
    <row r="147" spans="1:5" x14ac:dyDescent="0.35">
      <c r="A147" t="s">
        <v>228</v>
      </c>
      <c r="B147" t="s">
        <v>350</v>
      </c>
      <c r="C147" s="24">
        <v>44957</v>
      </c>
      <c r="D147" s="22">
        <v>18049</v>
      </c>
      <c r="E147" t="s">
        <v>27</v>
      </c>
    </row>
    <row r="148" spans="1:5" x14ac:dyDescent="0.35">
      <c r="A148" t="s">
        <v>229</v>
      </c>
      <c r="B148" t="s">
        <v>81</v>
      </c>
      <c r="C148" s="24">
        <v>44946</v>
      </c>
      <c r="D148" s="22">
        <v>4655</v>
      </c>
      <c r="E148" t="s">
        <v>4</v>
      </c>
    </row>
    <row r="149" spans="1:5" x14ac:dyDescent="0.35">
      <c r="A149" t="s">
        <v>230</v>
      </c>
      <c r="B149" t="s">
        <v>110</v>
      </c>
      <c r="C149" s="24">
        <v>44882</v>
      </c>
      <c r="D149" s="22">
        <v>7602</v>
      </c>
      <c r="E149" t="s">
        <v>4</v>
      </c>
    </row>
    <row r="150" spans="1:5" x14ac:dyDescent="0.35">
      <c r="A150" t="s">
        <v>231</v>
      </c>
      <c r="B150" t="s">
        <v>127</v>
      </c>
      <c r="C150" s="24">
        <v>44919</v>
      </c>
      <c r="D150" s="22">
        <v>9954</v>
      </c>
      <c r="E150" t="s">
        <v>27</v>
      </c>
    </row>
    <row r="151" spans="1:5" x14ac:dyDescent="0.35">
      <c r="A151" t="s">
        <v>232</v>
      </c>
      <c r="B151" t="s">
        <v>110</v>
      </c>
      <c r="C151" s="24">
        <v>44915</v>
      </c>
      <c r="D151" s="22">
        <v>10603</v>
      </c>
      <c r="E151" t="s">
        <v>4</v>
      </c>
    </row>
    <row r="152" spans="1:5" x14ac:dyDescent="0.35">
      <c r="A152" t="s">
        <v>233</v>
      </c>
      <c r="B152" t="s">
        <v>81</v>
      </c>
      <c r="C152" s="24">
        <v>44911</v>
      </c>
      <c r="D152" s="22">
        <v>19285</v>
      </c>
      <c r="E152" t="s">
        <v>27</v>
      </c>
    </row>
    <row r="153" spans="1:5" x14ac:dyDescent="0.35">
      <c r="A153" t="s">
        <v>234</v>
      </c>
      <c r="B153" t="s">
        <v>81</v>
      </c>
      <c r="C153" s="24">
        <v>44910</v>
      </c>
      <c r="D153" s="22">
        <v>14076</v>
      </c>
      <c r="E153" t="s">
        <v>27</v>
      </c>
    </row>
    <row r="154" spans="1:5" x14ac:dyDescent="0.35">
      <c r="A154" t="s">
        <v>235</v>
      </c>
      <c r="B154" t="s">
        <v>425</v>
      </c>
      <c r="C154" s="24">
        <v>44942</v>
      </c>
      <c r="D154" s="22">
        <v>17706</v>
      </c>
      <c r="E154" t="s">
        <v>27</v>
      </c>
    </row>
    <row r="155" spans="1:5" x14ac:dyDescent="0.35">
      <c r="A155" t="s">
        <v>236</v>
      </c>
      <c r="B155" t="s">
        <v>350</v>
      </c>
      <c r="C155" s="24">
        <v>44944</v>
      </c>
      <c r="D155" s="22">
        <v>11536</v>
      </c>
      <c r="E155" t="s">
        <v>745</v>
      </c>
    </row>
    <row r="156" spans="1:5" x14ac:dyDescent="0.35">
      <c r="A156" t="s">
        <v>237</v>
      </c>
      <c r="B156" t="s">
        <v>305</v>
      </c>
      <c r="C156" s="24">
        <v>44934</v>
      </c>
      <c r="D156" s="22">
        <v>19065</v>
      </c>
      <c r="E156" t="s">
        <v>745</v>
      </c>
    </row>
    <row r="157" spans="1:5" x14ac:dyDescent="0.35">
      <c r="A157" t="s">
        <v>238</v>
      </c>
      <c r="B157" t="s">
        <v>425</v>
      </c>
      <c r="C157" s="24">
        <v>44884</v>
      </c>
      <c r="D157" s="22">
        <v>5380</v>
      </c>
      <c r="E157" t="s">
        <v>27</v>
      </c>
    </row>
    <row r="158" spans="1:5" x14ac:dyDescent="0.35">
      <c r="A158" t="s">
        <v>239</v>
      </c>
      <c r="B158" t="s">
        <v>127</v>
      </c>
      <c r="C158" s="24">
        <v>44910</v>
      </c>
      <c r="D158" s="22">
        <v>17258</v>
      </c>
      <c r="E158" t="s">
        <v>27</v>
      </c>
    </row>
    <row r="159" spans="1:5" x14ac:dyDescent="0.35">
      <c r="A159" t="s">
        <v>240</v>
      </c>
      <c r="B159" t="s">
        <v>81</v>
      </c>
      <c r="C159" s="24">
        <v>44881</v>
      </c>
      <c r="D159" s="22">
        <v>14970</v>
      </c>
      <c r="E159" t="s">
        <v>745</v>
      </c>
    </row>
    <row r="160" spans="1:5" x14ac:dyDescent="0.35">
      <c r="A160" t="s">
        <v>241</v>
      </c>
      <c r="B160" t="s">
        <v>110</v>
      </c>
      <c r="C160" s="24">
        <v>44895</v>
      </c>
      <c r="D160" s="22">
        <v>8651</v>
      </c>
      <c r="E160" t="s">
        <v>27</v>
      </c>
    </row>
    <row r="161" spans="1:5" x14ac:dyDescent="0.35">
      <c r="A161" t="s">
        <v>242</v>
      </c>
      <c r="B161" t="s">
        <v>350</v>
      </c>
      <c r="C161" s="24">
        <v>44897</v>
      </c>
      <c r="D161" s="22">
        <v>6563</v>
      </c>
      <c r="E161" t="s">
        <v>27</v>
      </c>
    </row>
    <row r="162" spans="1:5" x14ac:dyDescent="0.35">
      <c r="A162" t="s">
        <v>243</v>
      </c>
      <c r="B162" t="s">
        <v>350</v>
      </c>
      <c r="C162" s="24">
        <v>44918</v>
      </c>
      <c r="D162" s="22">
        <v>16901</v>
      </c>
      <c r="E162" t="s">
        <v>27</v>
      </c>
    </row>
    <row r="163" spans="1:5" x14ac:dyDescent="0.35">
      <c r="A163" t="s">
        <v>244</v>
      </c>
      <c r="B163" t="s">
        <v>361</v>
      </c>
      <c r="C163" s="24">
        <v>44894</v>
      </c>
      <c r="D163" s="22">
        <v>6140</v>
      </c>
      <c r="E163" t="s">
        <v>27</v>
      </c>
    </row>
    <row r="164" spans="1:5" x14ac:dyDescent="0.35">
      <c r="A164" t="s">
        <v>245</v>
      </c>
      <c r="B164" t="s">
        <v>81</v>
      </c>
      <c r="C164" s="24">
        <v>44951</v>
      </c>
      <c r="D164" s="22">
        <v>1669</v>
      </c>
      <c r="E164" t="s">
        <v>4</v>
      </c>
    </row>
    <row r="165" spans="1:5" x14ac:dyDescent="0.35">
      <c r="A165" t="s">
        <v>246</v>
      </c>
      <c r="B165" t="s">
        <v>350</v>
      </c>
      <c r="C165" s="24">
        <v>44909</v>
      </c>
      <c r="D165" s="22">
        <v>11694</v>
      </c>
      <c r="E165" t="s">
        <v>745</v>
      </c>
    </row>
    <row r="166" spans="1:5" x14ac:dyDescent="0.35">
      <c r="A166" t="s">
        <v>247</v>
      </c>
      <c r="B166" t="s">
        <v>81</v>
      </c>
      <c r="C166" s="24">
        <v>44944</v>
      </c>
      <c r="D166" s="22">
        <v>5857</v>
      </c>
      <c r="E166" t="s">
        <v>27</v>
      </c>
    </row>
    <row r="167" spans="1:5" x14ac:dyDescent="0.35">
      <c r="A167" t="s">
        <v>248</v>
      </c>
      <c r="B167" t="s">
        <v>361</v>
      </c>
      <c r="C167" s="24">
        <v>44891</v>
      </c>
      <c r="D167" s="22">
        <v>10819</v>
      </c>
      <c r="E167" t="s">
        <v>4</v>
      </c>
    </row>
    <row r="168" spans="1:5" x14ac:dyDescent="0.35">
      <c r="A168" t="s">
        <v>249</v>
      </c>
      <c r="B168" t="s">
        <v>361</v>
      </c>
      <c r="C168" s="24">
        <v>44934</v>
      </c>
      <c r="D168" s="22">
        <v>4208</v>
      </c>
      <c r="E168" t="s">
        <v>745</v>
      </c>
    </row>
    <row r="169" spans="1:5" x14ac:dyDescent="0.35">
      <c r="A169" t="s">
        <v>250</v>
      </c>
      <c r="B169" t="s">
        <v>425</v>
      </c>
      <c r="C169" s="24">
        <v>44950</v>
      </c>
      <c r="D169" s="22">
        <v>12242</v>
      </c>
      <c r="E169" t="s">
        <v>27</v>
      </c>
    </row>
    <row r="170" spans="1:5" x14ac:dyDescent="0.35">
      <c r="A170" t="s">
        <v>251</v>
      </c>
      <c r="B170" t="s">
        <v>350</v>
      </c>
      <c r="C170" s="24">
        <v>44931</v>
      </c>
      <c r="D170" s="22">
        <v>13345</v>
      </c>
      <c r="E170" t="s">
        <v>27</v>
      </c>
    </row>
    <row r="171" spans="1:5" x14ac:dyDescent="0.35">
      <c r="A171" t="s">
        <v>252</v>
      </c>
      <c r="B171" t="s">
        <v>350</v>
      </c>
      <c r="C171" s="24">
        <v>44892</v>
      </c>
      <c r="D171" s="22">
        <v>4947</v>
      </c>
      <c r="E171" t="s">
        <v>4</v>
      </c>
    </row>
    <row r="172" spans="1:5" x14ac:dyDescent="0.35">
      <c r="A172" t="s">
        <v>253</v>
      </c>
      <c r="B172" t="s">
        <v>425</v>
      </c>
      <c r="C172" s="24">
        <v>44877</v>
      </c>
      <c r="D172" s="22">
        <v>3513</v>
      </c>
      <c r="E172" t="s">
        <v>27</v>
      </c>
    </row>
    <row r="173" spans="1:5" x14ac:dyDescent="0.35">
      <c r="A173" t="s">
        <v>254</v>
      </c>
      <c r="B173" t="s">
        <v>127</v>
      </c>
      <c r="C173" s="24">
        <v>44928</v>
      </c>
      <c r="D173" s="22">
        <v>9465</v>
      </c>
      <c r="E173" t="s">
        <v>4</v>
      </c>
    </row>
    <row r="174" spans="1:5" x14ac:dyDescent="0.35">
      <c r="A174" t="s">
        <v>255</v>
      </c>
      <c r="B174" t="s">
        <v>305</v>
      </c>
      <c r="C174" s="24">
        <v>44948</v>
      </c>
      <c r="D174" s="22">
        <v>7804</v>
      </c>
      <c r="E174" t="s">
        <v>4</v>
      </c>
    </row>
    <row r="175" spans="1:5" x14ac:dyDescent="0.35">
      <c r="A175" t="s">
        <v>256</v>
      </c>
      <c r="B175" t="s">
        <v>361</v>
      </c>
      <c r="C175" s="24">
        <v>44947</v>
      </c>
      <c r="D175" s="22">
        <v>10256</v>
      </c>
      <c r="E175" t="s">
        <v>745</v>
      </c>
    </row>
    <row r="176" spans="1:5" x14ac:dyDescent="0.35">
      <c r="A176" t="s">
        <v>257</v>
      </c>
      <c r="B176" t="s">
        <v>425</v>
      </c>
      <c r="C176" s="24">
        <v>44952</v>
      </c>
      <c r="D176" s="22">
        <v>5220</v>
      </c>
      <c r="E176" t="s">
        <v>27</v>
      </c>
    </row>
    <row r="177" spans="1:5" x14ac:dyDescent="0.35">
      <c r="A177" t="s">
        <v>258</v>
      </c>
      <c r="B177" t="s">
        <v>361</v>
      </c>
      <c r="C177" s="24">
        <v>44897</v>
      </c>
      <c r="D177" s="22">
        <v>2916</v>
      </c>
      <c r="E177" t="s">
        <v>4</v>
      </c>
    </row>
    <row r="178" spans="1:5" x14ac:dyDescent="0.35">
      <c r="A178" t="s">
        <v>259</v>
      </c>
      <c r="B178" t="s">
        <v>81</v>
      </c>
      <c r="C178" s="24">
        <v>44956</v>
      </c>
      <c r="D178" s="22">
        <v>17349</v>
      </c>
      <c r="E178" t="s">
        <v>4</v>
      </c>
    </row>
    <row r="179" spans="1:5" x14ac:dyDescent="0.35">
      <c r="A179" t="s">
        <v>260</v>
      </c>
      <c r="B179" t="s">
        <v>350</v>
      </c>
      <c r="C179" s="24">
        <v>44868</v>
      </c>
      <c r="D179" s="22">
        <v>12904</v>
      </c>
      <c r="E179" t="s">
        <v>745</v>
      </c>
    </row>
    <row r="180" spans="1:5" x14ac:dyDescent="0.35">
      <c r="A180" t="s">
        <v>261</v>
      </c>
      <c r="B180" t="s">
        <v>350</v>
      </c>
      <c r="C180" s="24">
        <v>44895</v>
      </c>
      <c r="D180" s="22">
        <v>2842</v>
      </c>
      <c r="E180" t="s">
        <v>745</v>
      </c>
    </row>
    <row r="181" spans="1:5" x14ac:dyDescent="0.35">
      <c r="A181" t="s">
        <v>262</v>
      </c>
      <c r="B181" t="s">
        <v>350</v>
      </c>
      <c r="C181" s="24">
        <v>44901</v>
      </c>
      <c r="D181" s="22">
        <v>4549</v>
      </c>
      <c r="E181" t="s">
        <v>745</v>
      </c>
    </row>
    <row r="182" spans="1:5" x14ac:dyDescent="0.35">
      <c r="A182" t="s">
        <v>263</v>
      </c>
      <c r="B182" t="s">
        <v>305</v>
      </c>
      <c r="C182" s="24">
        <v>44877</v>
      </c>
      <c r="D182" s="22">
        <v>3890</v>
      </c>
      <c r="E182" t="s">
        <v>4</v>
      </c>
    </row>
    <row r="183" spans="1:5" x14ac:dyDescent="0.35">
      <c r="A183" t="s">
        <v>264</v>
      </c>
      <c r="B183" t="s">
        <v>110</v>
      </c>
      <c r="C183" s="24">
        <v>44893</v>
      </c>
      <c r="D183" s="22">
        <v>16896</v>
      </c>
      <c r="E183" t="s">
        <v>745</v>
      </c>
    </row>
    <row r="184" spans="1:5" x14ac:dyDescent="0.35">
      <c r="A184" t="s">
        <v>265</v>
      </c>
      <c r="B184" t="s">
        <v>425</v>
      </c>
      <c r="C184" s="24">
        <v>44913</v>
      </c>
      <c r="D184" s="22">
        <v>3060</v>
      </c>
      <c r="E184" t="s">
        <v>4</v>
      </c>
    </row>
    <row r="185" spans="1:5" x14ac:dyDescent="0.35">
      <c r="A185" t="s">
        <v>266</v>
      </c>
      <c r="B185" t="s">
        <v>110</v>
      </c>
      <c r="C185" s="24">
        <v>44874</v>
      </c>
      <c r="D185" s="22">
        <v>17040</v>
      </c>
      <c r="E185" t="s">
        <v>4</v>
      </c>
    </row>
    <row r="186" spans="1:5" x14ac:dyDescent="0.35">
      <c r="A186" t="s">
        <v>267</v>
      </c>
      <c r="B186" t="s">
        <v>361</v>
      </c>
      <c r="C186" s="24">
        <v>44926</v>
      </c>
      <c r="D186" s="22">
        <v>12374</v>
      </c>
      <c r="E186" t="s">
        <v>27</v>
      </c>
    </row>
    <row r="187" spans="1:5" x14ac:dyDescent="0.35">
      <c r="A187" t="s">
        <v>268</v>
      </c>
      <c r="B187" t="s">
        <v>350</v>
      </c>
      <c r="C187" s="24">
        <v>44906</v>
      </c>
      <c r="D187" s="22">
        <v>13284</v>
      </c>
      <c r="E187" t="s">
        <v>27</v>
      </c>
    </row>
    <row r="188" spans="1:5" x14ac:dyDescent="0.35">
      <c r="A188" t="s">
        <v>269</v>
      </c>
      <c r="B188" t="s">
        <v>350</v>
      </c>
      <c r="C188" s="24">
        <v>44875</v>
      </c>
      <c r="D188" s="22">
        <v>10837</v>
      </c>
      <c r="E188" t="s">
        <v>4</v>
      </c>
    </row>
    <row r="189" spans="1:5" x14ac:dyDescent="0.35">
      <c r="A189" t="s">
        <v>270</v>
      </c>
      <c r="B189" t="s">
        <v>425</v>
      </c>
      <c r="C189" s="24">
        <v>44938</v>
      </c>
      <c r="D189" s="22">
        <v>9772</v>
      </c>
      <c r="E189" t="s">
        <v>4</v>
      </c>
    </row>
    <row r="190" spans="1:5" x14ac:dyDescent="0.35">
      <c r="A190" t="s">
        <v>271</v>
      </c>
      <c r="B190" t="s">
        <v>110</v>
      </c>
      <c r="C190" s="24">
        <v>44890</v>
      </c>
      <c r="D190" s="22">
        <v>18468</v>
      </c>
      <c r="E190" t="s">
        <v>27</v>
      </c>
    </row>
    <row r="191" spans="1:5" x14ac:dyDescent="0.35">
      <c r="A191" t="s">
        <v>272</v>
      </c>
      <c r="B191" t="s">
        <v>361</v>
      </c>
      <c r="C191" s="24">
        <v>44876</v>
      </c>
      <c r="D191" s="22">
        <v>15295</v>
      </c>
      <c r="E191" t="s">
        <v>4</v>
      </c>
    </row>
    <row r="192" spans="1:5" x14ac:dyDescent="0.35">
      <c r="A192" t="s">
        <v>273</v>
      </c>
      <c r="B192" t="s">
        <v>305</v>
      </c>
      <c r="C192" s="24">
        <v>44874</v>
      </c>
      <c r="D192" s="22">
        <v>12456</v>
      </c>
      <c r="E192" t="s">
        <v>745</v>
      </c>
    </row>
    <row r="193" spans="1:5" x14ac:dyDescent="0.35">
      <c r="A193" t="s">
        <v>274</v>
      </c>
      <c r="B193" t="s">
        <v>81</v>
      </c>
      <c r="C193" s="24">
        <v>44907</v>
      </c>
      <c r="D193" s="22">
        <v>16568</v>
      </c>
      <c r="E193" t="s">
        <v>27</v>
      </c>
    </row>
    <row r="194" spans="1:5" x14ac:dyDescent="0.35">
      <c r="A194" t="s">
        <v>275</v>
      </c>
      <c r="B194" t="s">
        <v>81</v>
      </c>
      <c r="C194" s="24">
        <v>44935</v>
      </c>
      <c r="D194" s="22">
        <v>8590</v>
      </c>
      <c r="E194" t="s">
        <v>4</v>
      </c>
    </row>
    <row r="195" spans="1:5" x14ac:dyDescent="0.35">
      <c r="A195" t="s">
        <v>276</v>
      </c>
      <c r="B195" t="s">
        <v>305</v>
      </c>
      <c r="C195" s="24">
        <v>44938</v>
      </c>
      <c r="D195" s="22">
        <v>8065</v>
      </c>
      <c r="E195" t="s">
        <v>4</v>
      </c>
    </row>
    <row r="196" spans="1:5" x14ac:dyDescent="0.35">
      <c r="A196" t="s">
        <v>277</v>
      </c>
      <c r="B196" t="s">
        <v>81</v>
      </c>
      <c r="C196" s="24">
        <v>44953</v>
      </c>
      <c r="D196" s="22">
        <v>14003</v>
      </c>
      <c r="E196" t="s">
        <v>745</v>
      </c>
    </row>
    <row r="197" spans="1:5" x14ac:dyDescent="0.35">
      <c r="A197" t="s">
        <v>278</v>
      </c>
      <c r="B197" t="s">
        <v>305</v>
      </c>
      <c r="C197" s="24">
        <v>44921</v>
      </c>
      <c r="D197" s="22">
        <v>4415</v>
      </c>
      <c r="E197" t="s">
        <v>27</v>
      </c>
    </row>
    <row r="198" spans="1:5" x14ac:dyDescent="0.35">
      <c r="A198" t="s">
        <v>279</v>
      </c>
      <c r="B198" t="s">
        <v>110</v>
      </c>
      <c r="C198" s="24">
        <v>44929</v>
      </c>
      <c r="D198" s="22">
        <v>9724</v>
      </c>
      <c r="E198" t="s">
        <v>745</v>
      </c>
    </row>
    <row r="199" spans="1:5" x14ac:dyDescent="0.35">
      <c r="A199" t="s">
        <v>280</v>
      </c>
      <c r="B199" t="s">
        <v>127</v>
      </c>
      <c r="C199" s="24">
        <v>44925</v>
      </c>
      <c r="D199" s="22">
        <v>1683</v>
      </c>
      <c r="E199" t="s">
        <v>4</v>
      </c>
    </row>
    <row r="200" spans="1:5" x14ac:dyDescent="0.35">
      <c r="A200" t="s">
        <v>281</v>
      </c>
      <c r="B200" t="s">
        <v>305</v>
      </c>
      <c r="C200" s="24">
        <v>44891</v>
      </c>
      <c r="D200" s="22">
        <v>14094</v>
      </c>
      <c r="E200" t="s">
        <v>27</v>
      </c>
    </row>
    <row r="201" spans="1:5" x14ac:dyDescent="0.35">
      <c r="A201" t="s">
        <v>282</v>
      </c>
      <c r="B201" t="s">
        <v>81</v>
      </c>
      <c r="C201" s="24">
        <v>44929</v>
      </c>
      <c r="D201" s="22">
        <v>10199</v>
      </c>
      <c r="E201" t="s">
        <v>27</v>
      </c>
    </row>
    <row r="202" spans="1:5" x14ac:dyDescent="0.35">
      <c r="A202" t="s">
        <v>283</v>
      </c>
      <c r="B202" t="s">
        <v>361</v>
      </c>
      <c r="C202" s="24">
        <v>44889</v>
      </c>
      <c r="D202" s="22">
        <v>9358</v>
      </c>
      <c r="E202" t="s">
        <v>745</v>
      </c>
    </row>
    <row r="203" spans="1:5" x14ac:dyDescent="0.35">
      <c r="A203" t="s">
        <v>284</v>
      </c>
      <c r="B203" t="s">
        <v>361</v>
      </c>
      <c r="C203" s="24">
        <v>44924</v>
      </c>
      <c r="D203" s="22">
        <v>17161</v>
      </c>
      <c r="E203" t="s">
        <v>4</v>
      </c>
    </row>
    <row r="204" spans="1:5" x14ac:dyDescent="0.35">
      <c r="A204" t="s">
        <v>285</v>
      </c>
      <c r="B204" t="s">
        <v>425</v>
      </c>
      <c r="C204" s="24">
        <v>44947</v>
      </c>
      <c r="D204" s="22">
        <v>6766</v>
      </c>
      <c r="E204" t="s">
        <v>745</v>
      </c>
    </row>
    <row r="205" spans="1:5" x14ac:dyDescent="0.35">
      <c r="A205" t="s">
        <v>286</v>
      </c>
      <c r="B205" t="s">
        <v>127</v>
      </c>
      <c r="C205" s="24">
        <v>44901</v>
      </c>
      <c r="D205" s="22">
        <v>7675</v>
      </c>
      <c r="E205" t="s">
        <v>745</v>
      </c>
    </row>
    <row r="206" spans="1:5" x14ac:dyDescent="0.35">
      <c r="A206" t="s">
        <v>287</v>
      </c>
      <c r="B206" t="s">
        <v>350</v>
      </c>
      <c r="C206" s="24">
        <v>44902</v>
      </c>
      <c r="D206" s="22">
        <v>3683</v>
      </c>
      <c r="E206" t="s">
        <v>27</v>
      </c>
    </row>
    <row r="207" spans="1:5" x14ac:dyDescent="0.35">
      <c r="A207" t="s">
        <v>288</v>
      </c>
      <c r="B207" t="s">
        <v>350</v>
      </c>
      <c r="C207" s="24">
        <v>44948</v>
      </c>
      <c r="D207" s="22">
        <v>11360</v>
      </c>
      <c r="E207" t="s">
        <v>745</v>
      </c>
    </row>
    <row r="208" spans="1:5" x14ac:dyDescent="0.35">
      <c r="A208" t="s">
        <v>289</v>
      </c>
      <c r="B208" t="s">
        <v>425</v>
      </c>
      <c r="C208" s="24">
        <v>44902</v>
      </c>
      <c r="D208" s="22">
        <v>9882</v>
      </c>
      <c r="E208" t="s">
        <v>27</v>
      </c>
    </row>
    <row r="209" spans="1:5" x14ac:dyDescent="0.35">
      <c r="A209" t="s">
        <v>290</v>
      </c>
      <c r="B209" t="s">
        <v>81</v>
      </c>
      <c r="C209" s="24">
        <v>44870</v>
      </c>
      <c r="D209" s="22">
        <v>2607</v>
      </c>
      <c r="E209" t="s">
        <v>745</v>
      </c>
    </row>
    <row r="210" spans="1:5" x14ac:dyDescent="0.35">
      <c r="A210" t="s">
        <v>291</v>
      </c>
      <c r="B210" t="s">
        <v>305</v>
      </c>
      <c r="C210" s="24">
        <v>44931</v>
      </c>
      <c r="D210" s="22">
        <v>12736</v>
      </c>
      <c r="E210" t="s">
        <v>27</v>
      </c>
    </row>
    <row r="211" spans="1:5" x14ac:dyDescent="0.35">
      <c r="A211" t="s">
        <v>292</v>
      </c>
      <c r="B211" t="s">
        <v>81</v>
      </c>
      <c r="C211" s="24">
        <v>44913</v>
      </c>
      <c r="D211" s="22">
        <v>16087</v>
      </c>
      <c r="E211" t="s">
        <v>745</v>
      </c>
    </row>
    <row r="212" spans="1:5" x14ac:dyDescent="0.35">
      <c r="A212" t="s">
        <v>293</v>
      </c>
      <c r="B212" t="s">
        <v>425</v>
      </c>
      <c r="C212" s="24">
        <v>44927</v>
      </c>
      <c r="D212" s="22">
        <v>10964</v>
      </c>
      <c r="E212" t="s">
        <v>745</v>
      </c>
    </row>
    <row r="213" spans="1:5" x14ac:dyDescent="0.35">
      <c r="A213" t="s">
        <v>294</v>
      </c>
      <c r="B213" t="s">
        <v>110</v>
      </c>
      <c r="C213" s="24">
        <v>44895</v>
      </c>
      <c r="D213" s="22">
        <v>19950</v>
      </c>
      <c r="E213" t="s">
        <v>27</v>
      </c>
    </row>
    <row r="214" spans="1:5" x14ac:dyDescent="0.35">
      <c r="A214" t="s">
        <v>295</v>
      </c>
      <c r="B214" t="s">
        <v>81</v>
      </c>
      <c r="C214" s="24">
        <v>44878</v>
      </c>
      <c r="D214" s="22">
        <v>14958</v>
      </c>
      <c r="E214" t="s">
        <v>27</v>
      </c>
    </row>
    <row r="215" spans="1:5" x14ac:dyDescent="0.35">
      <c r="A215" t="s">
        <v>296</v>
      </c>
      <c r="B215" t="s">
        <v>361</v>
      </c>
      <c r="C215" s="24">
        <v>44899</v>
      </c>
      <c r="D215" s="22">
        <v>7770</v>
      </c>
      <c r="E215" t="s">
        <v>27</v>
      </c>
    </row>
    <row r="216" spans="1:5" x14ac:dyDescent="0.35">
      <c r="A216" t="s">
        <v>297</v>
      </c>
      <c r="B216" t="s">
        <v>350</v>
      </c>
      <c r="C216" s="24">
        <v>44936</v>
      </c>
      <c r="D216" s="22">
        <v>16535</v>
      </c>
      <c r="E216" t="s">
        <v>745</v>
      </c>
    </row>
    <row r="217" spans="1:5" x14ac:dyDescent="0.35">
      <c r="A217" t="s">
        <v>298</v>
      </c>
      <c r="B217" t="s">
        <v>110</v>
      </c>
      <c r="C217" s="24">
        <v>44899</v>
      </c>
      <c r="D217" s="22">
        <v>9844</v>
      </c>
      <c r="E217" t="s">
        <v>27</v>
      </c>
    </row>
    <row r="218" spans="1:5" x14ac:dyDescent="0.35">
      <c r="A218" t="s">
        <v>299</v>
      </c>
      <c r="B218" t="s">
        <v>305</v>
      </c>
      <c r="C218" s="24">
        <v>44935</v>
      </c>
      <c r="D218" s="22">
        <v>16796</v>
      </c>
      <c r="E218" t="s">
        <v>27</v>
      </c>
    </row>
    <row r="219" spans="1:5" x14ac:dyDescent="0.35">
      <c r="A219" t="s">
        <v>300</v>
      </c>
      <c r="B219" t="s">
        <v>350</v>
      </c>
      <c r="C219" s="24">
        <v>44927</v>
      </c>
      <c r="D219" s="22">
        <v>15453</v>
      </c>
      <c r="E219" t="s">
        <v>27</v>
      </c>
    </row>
    <row r="220" spans="1:5" x14ac:dyDescent="0.35">
      <c r="A220" t="s">
        <v>301</v>
      </c>
      <c r="B220" t="s">
        <v>350</v>
      </c>
      <c r="C220" s="24">
        <v>44882</v>
      </c>
      <c r="D220" s="22">
        <v>17402</v>
      </c>
      <c r="E220" t="s">
        <v>745</v>
      </c>
    </row>
    <row r="221" spans="1:5" x14ac:dyDescent="0.35">
      <c r="A221" t="s">
        <v>302</v>
      </c>
      <c r="B221" t="s">
        <v>425</v>
      </c>
      <c r="C221" s="24">
        <v>44888</v>
      </c>
      <c r="D221" s="22">
        <v>7306</v>
      </c>
      <c r="E221" t="s">
        <v>27</v>
      </c>
    </row>
    <row r="222" spans="1:5" x14ac:dyDescent="0.35">
      <c r="A222" t="s">
        <v>303</v>
      </c>
      <c r="B222" t="s">
        <v>81</v>
      </c>
      <c r="C222" s="24">
        <v>44901</v>
      </c>
      <c r="D222" s="22">
        <v>7224</v>
      </c>
      <c r="E222" t="s">
        <v>745</v>
      </c>
    </row>
    <row r="223" spans="1:5" x14ac:dyDescent="0.35">
      <c r="A223" t="s">
        <v>304</v>
      </c>
      <c r="B223" t="s">
        <v>127</v>
      </c>
      <c r="C223" s="24">
        <v>44954</v>
      </c>
      <c r="D223" s="22">
        <v>10978</v>
      </c>
      <c r="E223" t="s">
        <v>4</v>
      </c>
    </row>
    <row r="224" spans="1:5" x14ac:dyDescent="0.35">
      <c r="A224" t="s">
        <v>306</v>
      </c>
      <c r="B224" t="s">
        <v>350</v>
      </c>
      <c r="C224" s="24">
        <v>44870</v>
      </c>
      <c r="D224" s="22">
        <v>7277</v>
      </c>
      <c r="E224" t="s">
        <v>27</v>
      </c>
    </row>
    <row r="225" spans="1:5" x14ac:dyDescent="0.35">
      <c r="A225" t="s">
        <v>307</v>
      </c>
      <c r="B225" t="s">
        <v>305</v>
      </c>
      <c r="C225" s="24">
        <v>44909</v>
      </c>
      <c r="D225" s="22">
        <v>10150</v>
      </c>
      <c r="E225" t="s">
        <v>4</v>
      </c>
    </row>
    <row r="226" spans="1:5" x14ac:dyDescent="0.35">
      <c r="A226" t="s">
        <v>308</v>
      </c>
      <c r="B226" t="s">
        <v>81</v>
      </c>
      <c r="C226" s="24">
        <v>44889</v>
      </c>
      <c r="D226" s="22">
        <v>6534</v>
      </c>
      <c r="E226" t="s">
        <v>745</v>
      </c>
    </row>
    <row r="227" spans="1:5" x14ac:dyDescent="0.35">
      <c r="A227" t="s">
        <v>309</v>
      </c>
      <c r="B227" t="s">
        <v>425</v>
      </c>
      <c r="C227" s="24">
        <v>44887</v>
      </c>
      <c r="D227" s="22">
        <v>3167</v>
      </c>
      <c r="E227" t="s">
        <v>27</v>
      </c>
    </row>
    <row r="228" spans="1:5" x14ac:dyDescent="0.35">
      <c r="A228" t="s">
        <v>310</v>
      </c>
      <c r="B228" t="s">
        <v>110</v>
      </c>
      <c r="C228" s="24">
        <v>44939</v>
      </c>
      <c r="D228" s="22">
        <v>5089</v>
      </c>
      <c r="E228" t="s">
        <v>4</v>
      </c>
    </row>
    <row r="229" spans="1:5" x14ac:dyDescent="0.35">
      <c r="A229" t="s">
        <v>311</v>
      </c>
      <c r="B229" t="s">
        <v>361</v>
      </c>
      <c r="C229" s="24">
        <v>44897</v>
      </c>
      <c r="D229" s="22">
        <v>14449</v>
      </c>
      <c r="E229" t="s">
        <v>27</v>
      </c>
    </row>
    <row r="230" spans="1:5" x14ac:dyDescent="0.35">
      <c r="A230" t="s">
        <v>312</v>
      </c>
      <c r="B230" t="s">
        <v>305</v>
      </c>
      <c r="C230" s="24">
        <v>44872</v>
      </c>
      <c r="D230" s="22">
        <v>10046</v>
      </c>
      <c r="E230" t="s">
        <v>745</v>
      </c>
    </row>
    <row r="231" spans="1:5" x14ac:dyDescent="0.35">
      <c r="A231" t="s">
        <v>313</v>
      </c>
      <c r="B231" t="s">
        <v>81</v>
      </c>
      <c r="C231" s="24">
        <v>44914</v>
      </c>
      <c r="D231" s="22">
        <v>1460</v>
      </c>
      <c r="E231" t="s">
        <v>745</v>
      </c>
    </row>
    <row r="232" spans="1:5" x14ac:dyDescent="0.35">
      <c r="A232" t="s">
        <v>314</v>
      </c>
      <c r="B232" t="s">
        <v>110</v>
      </c>
      <c r="C232" s="24">
        <v>44891</v>
      </c>
      <c r="D232" s="22">
        <v>6454</v>
      </c>
      <c r="E232" t="s">
        <v>4</v>
      </c>
    </row>
    <row r="233" spans="1:5" x14ac:dyDescent="0.35">
      <c r="A233" t="s">
        <v>315</v>
      </c>
      <c r="B233" t="s">
        <v>110</v>
      </c>
      <c r="C233" s="24">
        <v>44890</v>
      </c>
      <c r="D233" s="22">
        <v>13309</v>
      </c>
      <c r="E233" t="s">
        <v>4</v>
      </c>
    </row>
    <row r="234" spans="1:5" x14ac:dyDescent="0.35">
      <c r="A234" t="s">
        <v>316</v>
      </c>
      <c r="B234" t="s">
        <v>305</v>
      </c>
      <c r="C234" s="24">
        <v>44951</v>
      </c>
      <c r="D234" s="22">
        <v>16444</v>
      </c>
      <c r="E234" t="s">
        <v>745</v>
      </c>
    </row>
    <row r="235" spans="1:5" x14ac:dyDescent="0.35">
      <c r="A235" t="s">
        <v>317</v>
      </c>
      <c r="B235" t="s">
        <v>110</v>
      </c>
      <c r="C235" s="24">
        <v>44898</v>
      </c>
      <c r="D235" s="22">
        <v>8778</v>
      </c>
      <c r="E235" t="s">
        <v>27</v>
      </c>
    </row>
    <row r="236" spans="1:5" x14ac:dyDescent="0.35">
      <c r="A236" t="s">
        <v>318</v>
      </c>
      <c r="B236" t="s">
        <v>305</v>
      </c>
      <c r="C236" s="24">
        <v>44951</v>
      </c>
      <c r="D236" s="22">
        <v>6182</v>
      </c>
      <c r="E236" t="s">
        <v>4</v>
      </c>
    </row>
    <row r="237" spans="1:5" x14ac:dyDescent="0.35">
      <c r="A237" t="s">
        <v>319</v>
      </c>
      <c r="B237" t="s">
        <v>127</v>
      </c>
      <c r="C237" s="24">
        <v>44886</v>
      </c>
      <c r="D237" s="22">
        <v>8306</v>
      </c>
      <c r="E237" t="s">
        <v>745</v>
      </c>
    </row>
    <row r="238" spans="1:5" x14ac:dyDescent="0.35">
      <c r="A238" t="s">
        <v>320</v>
      </c>
      <c r="B238" t="s">
        <v>127</v>
      </c>
      <c r="C238" s="24">
        <v>44919</v>
      </c>
      <c r="D238" s="22">
        <v>4198</v>
      </c>
      <c r="E238" t="s">
        <v>745</v>
      </c>
    </row>
    <row r="239" spans="1:5" x14ac:dyDescent="0.35">
      <c r="A239" t="s">
        <v>321</v>
      </c>
      <c r="B239" t="s">
        <v>350</v>
      </c>
      <c r="C239" s="24">
        <v>44908</v>
      </c>
      <c r="D239" s="22">
        <v>10209</v>
      </c>
      <c r="E239" t="s">
        <v>27</v>
      </c>
    </row>
    <row r="240" spans="1:5" x14ac:dyDescent="0.35">
      <c r="A240" t="s">
        <v>322</v>
      </c>
      <c r="B240" t="s">
        <v>350</v>
      </c>
      <c r="C240" s="24">
        <v>44954</v>
      </c>
      <c r="D240" s="22">
        <v>19334</v>
      </c>
      <c r="E240" t="s">
        <v>4</v>
      </c>
    </row>
    <row r="241" spans="1:5" x14ac:dyDescent="0.35">
      <c r="A241" t="s">
        <v>323</v>
      </c>
      <c r="B241" t="s">
        <v>305</v>
      </c>
      <c r="C241" s="24">
        <v>44891</v>
      </c>
      <c r="D241" s="22">
        <v>2264</v>
      </c>
      <c r="E241" t="s">
        <v>27</v>
      </c>
    </row>
    <row r="242" spans="1:5" x14ac:dyDescent="0.35">
      <c r="A242" t="s">
        <v>324</v>
      </c>
      <c r="B242" t="s">
        <v>81</v>
      </c>
      <c r="C242" s="24">
        <v>44876</v>
      </c>
      <c r="D242" s="22">
        <v>8211</v>
      </c>
      <c r="E242" t="s">
        <v>745</v>
      </c>
    </row>
    <row r="243" spans="1:5" x14ac:dyDescent="0.35">
      <c r="A243" t="s">
        <v>325</v>
      </c>
      <c r="B243" t="s">
        <v>305</v>
      </c>
      <c r="C243" s="24">
        <v>44922</v>
      </c>
      <c r="D243" s="22">
        <v>7100</v>
      </c>
      <c r="E243" t="s">
        <v>4</v>
      </c>
    </row>
    <row r="244" spans="1:5" x14ac:dyDescent="0.35">
      <c r="A244" t="s">
        <v>326</v>
      </c>
      <c r="B244" t="s">
        <v>350</v>
      </c>
      <c r="C244" s="24">
        <v>44900</v>
      </c>
      <c r="D244" s="22">
        <v>11363</v>
      </c>
      <c r="E244" t="s">
        <v>745</v>
      </c>
    </row>
    <row r="245" spans="1:5" x14ac:dyDescent="0.35">
      <c r="A245" t="s">
        <v>327</v>
      </c>
      <c r="B245" t="s">
        <v>110</v>
      </c>
      <c r="C245" s="24">
        <v>44931</v>
      </c>
      <c r="D245" s="22">
        <v>11234</v>
      </c>
      <c r="E245" t="s">
        <v>745</v>
      </c>
    </row>
    <row r="246" spans="1:5" x14ac:dyDescent="0.35">
      <c r="A246" t="s">
        <v>328</v>
      </c>
      <c r="B246" t="s">
        <v>305</v>
      </c>
      <c r="C246" s="24">
        <v>44943</v>
      </c>
      <c r="D246" s="22">
        <v>3581</v>
      </c>
      <c r="E246" t="s">
        <v>745</v>
      </c>
    </row>
    <row r="247" spans="1:5" x14ac:dyDescent="0.35">
      <c r="A247" t="s">
        <v>329</v>
      </c>
      <c r="B247" t="s">
        <v>350</v>
      </c>
      <c r="C247" s="24">
        <v>44873</v>
      </c>
      <c r="D247" s="22">
        <v>13961</v>
      </c>
      <c r="E247" t="s">
        <v>745</v>
      </c>
    </row>
    <row r="248" spans="1:5" x14ac:dyDescent="0.35">
      <c r="A248" t="s">
        <v>330</v>
      </c>
      <c r="B248" t="s">
        <v>361</v>
      </c>
      <c r="C248" s="24">
        <v>44912</v>
      </c>
      <c r="D248" s="22">
        <v>13046</v>
      </c>
      <c r="E248" t="s">
        <v>4</v>
      </c>
    </row>
    <row r="249" spans="1:5" x14ac:dyDescent="0.35">
      <c r="A249" t="s">
        <v>331</v>
      </c>
      <c r="B249" t="s">
        <v>305</v>
      </c>
      <c r="C249" s="24">
        <v>44955</v>
      </c>
      <c r="D249" s="22">
        <v>16251</v>
      </c>
      <c r="E249" t="s">
        <v>4</v>
      </c>
    </row>
    <row r="250" spans="1:5" x14ac:dyDescent="0.35">
      <c r="A250" t="s">
        <v>332</v>
      </c>
      <c r="B250" t="s">
        <v>110</v>
      </c>
      <c r="C250" s="24">
        <v>44878</v>
      </c>
      <c r="D250" s="22">
        <v>11325</v>
      </c>
      <c r="E250" t="s">
        <v>4</v>
      </c>
    </row>
    <row r="251" spans="1:5" x14ac:dyDescent="0.35">
      <c r="A251" t="s">
        <v>333</v>
      </c>
      <c r="B251" t="s">
        <v>110</v>
      </c>
      <c r="C251" s="24">
        <v>44890</v>
      </c>
      <c r="D251" s="22">
        <v>16792</v>
      </c>
      <c r="E251" t="s">
        <v>4</v>
      </c>
    </row>
    <row r="252" spans="1:5" x14ac:dyDescent="0.35">
      <c r="A252" t="s">
        <v>334</v>
      </c>
      <c r="B252" t="s">
        <v>127</v>
      </c>
      <c r="C252" s="24">
        <v>44935</v>
      </c>
      <c r="D252" s="22">
        <v>3932</v>
      </c>
      <c r="E252" t="s">
        <v>745</v>
      </c>
    </row>
    <row r="253" spans="1:5" x14ac:dyDescent="0.35">
      <c r="A253" t="s">
        <v>335</v>
      </c>
      <c r="B253" t="s">
        <v>127</v>
      </c>
      <c r="C253" s="24">
        <v>44933</v>
      </c>
      <c r="D253" s="22">
        <v>2455</v>
      </c>
      <c r="E253" t="s">
        <v>4</v>
      </c>
    </row>
    <row r="254" spans="1:5" x14ac:dyDescent="0.35">
      <c r="A254" t="s">
        <v>336</v>
      </c>
      <c r="B254" t="s">
        <v>81</v>
      </c>
      <c r="C254" s="24">
        <v>44879</v>
      </c>
      <c r="D254" s="22">
        <v>17019</v>
      </c>
      <c r="E254" t="s">
        <v>27</v>
      </c>
    </row>
    <row r="255" spans="1:5" x14ac:dyDescent="0.35">
      <c r="A255" t="s">
        <v>337</v>
      </c>
      <c r="B255" t="s">
        <v>127</v>
      </c>
      <c r="C255" s="24">
        <v>44956</v>
      </c>
      <c r="D255" s="22">
        <v>17263</v>
      </c>
      <c r="E255" t="s">
        <v>4</v>
      </c>
    </row>
    <row r="256" spans="1:5" x14ac:dyDescent="0.35">
      <c r="A256" t="s">
        <v>338</v>
      </c>
      <c r="B256" t="s">
        <v>361</v>
      </c>
      <c r="C256" s="24">
        <v>44950</v>
      </c>
      <c r="D256" s="22">
        <v>16448</v>
      </c>
      <c r="E256" t="s">
        <v>27</v>
      </c>
    </row>
    <row r="257" spans="1:5" x14ac:dyDescent="0.35">
      <c r="A257" t="s">
        <v>339</v>
      </c>
      <c r="B257" t="s">
        <v>425</v>
      </c>
      <c r="C257" s="24">
        <v>44900</v>
      </c>
      <c r="D257" s="22">
        <v>14743</v>
      </c>
      <c r="E257" t="s">
        <v>4</v>
      </c>
    </row>
    <row r="258" spans="1:5" x14ac:dyDescent="0.35">
      <c r="A258" t="s">
        <v>340</v>
      </c>
      <c r="B258" t="s">
        <v>110</v>
      </c>
      <c r="C258" s="24">
        <v>44868</v>
      </c>
      <c r="D258" s="22">
        <v>4909</v>
      </c>
      <c r="E258" t="s">
        <v>4</v>
      </c>
    </row>
    <row r="259" spans="1:5" x14ac:dyDescent="0.35">
      <c r="A259" t="s">
        <v>341</v>
      </c>
      <c r="B259" t="s">
        <v>425</v>
      </c>
      <c r="C259" s="24">
        <v>44888</v>
      </c>
      <c r="D259" s="22">
        <v>11112</v>
      </c>
      <c r="E259" t="s">
        <v>4</v>
      </c>
    </row>
    <row r="260" spans="1:5" x14ac:dyDescent="0.35">
      <c r="A260" t="s">
        <v>342</v>
      </c>
      <c r="B260" t="s">
        <v>81</v>
      </c>
      <c r="C260" s="24">
        <v>44905</v>
      </c>
      <c r="D260" s="22">
        <v>4305</v>
      </c>
      <c r="E260" t="s">
        <v>4</v>
      </c>
    </row>
    <row r="261" spans="1:5" x14ac:dyDescent="0.35">
      <c r="A261" t="s">
        <v>343</v>
      </c>
      <c r="B261" t="s">
        <v>110</v>
      </c>
      <c r="C261" s="24">
        <v>44909</v>
      </c>
      <c r="D261" s="22">
        <v>18114</v>
      </c>
      <c r="E261" t="s">
        <v>745</v>
      </c>
    </row>
    <row r="262" spans="1:5" x14ac:dyDescent="0.35">
      <c r="A262" t="s">
        <v>344</v>
      </c>
      <c r="B262" t="s">
        <v>305</v>
      </c>
      <c r="C262" s="24">
        <v>44952</v>
      </c>
      <c r="D262" s="22">
        <v>2847</v>
      </c>
      <c r="E262" t="s">
        <v>27</v>
      </c>
    </row>
    <row r="263" spans="1:5" x14ac:dyDescent="0.35">
      <c r="A263" t="s">
        <v>345</v>
      </c>
      <c r="B263" t="s">
        <v>110</v>
      </c>
      <c r="C263" s="24">
        <v>44888</v>
      </c>
      <c r="D263" s="22">
        <v>5832</v>
      </c>
      <c r="E263" t="s">
        <v>27</v>
      </c>
    </row>
    <row r="264" spans="1:5" x14ac:dyDescent="0.35">
      <c r="A264" t="s">
        <v>346</v>
      </c>
      <c r="B264" t="s">
        <v>350</v>
      </c>
      <c r="C264" s="24">
        <v>44894</v>
      </c>
      <c r="D264" s="22">
        <v>8181</v>
      </c>
      <c r="E264" t="s">
        <v>27</v>
      </c>
    </row>
    <row r="265" spans="1:5" x14ac:dyDescent="0.35">
      <c r="A265" t="s">
        <v>347</v>
      </c>
      <c r="B265" t="s">
        <v>110</v>
      </c>
      <c r="C265" s="24">
        <v>44937</v>
      </c>
      <c r="D265" s="22">
        <v>7917</v>
      </c>
      <c r="E265" t="s">
        <v>27</v>
      </c>
    </row>
    <row r="266" spans="1:5" x14ac:dyDescent="0.35">
      <c r="A266" t="s">
        <v>348</v>
      </c>
      <c r="B266" t="s">
        <v>425</v>
      </c>
      <c r="C266" s="24">
        <v>44916</v>
      </c>
      <c r="D266" s="22">
        <v>13125</v>
      </c>
      <c r="E266" t="s">
        <v>4</v>
      </c>
    </row>
    <row r="267" spans="1:5" x14ac:dyDescent="0.35">
      <c r="A267" t="s">
        <v>349</v>
      </c>
      <c r="B267" t="s">
        <v>81</v>
      </c>
      <c r="C267" s="24">
        <v>44946</v>
      </c>
      <c r="D267" s="22">
        <v>3063</v>
      </c>
      <c r="E267" t="s">
        <v>4</v>
      </c>
    </row>
    <row r="268" spans="1:5" x14ac:dyDescent="0.35">
      <c r="A268" t="s">
        <v>351</v>
      </c>
      <c r="B268" t="s">
        <v>110</v>
      </c>
      <c r="C268" s="24">
        <v>44896</v>
      </c>
      <c r="D268" s="22">
        <v>3512</v>
      </c>
      <c r="E268" t="s">
        <v>27</v>
      </c>
    </row>
    <row r="269" spans="1:5" x14ac:dyDescent="0.35">
      <c r="A269" t="s">
        <v>352</v>
      </c>
      <c r="B269" t="s">
        <v>81</v>
      </c>
      <c r="C269" s="24">
        <v>44928</v>
      </c>
      <c r="D269" s="22">
        <v>17207</v>
      </c>
      <c r="E269" t="s">
        <v>27</v>
      </c>
    </row>
    <row r="270" spans="1:5" x14ac:dyDescent="0.35">
      <c r="A270" t="s">
        <v>353</v>
      </c>
      <c r="B270" t="s">
        <v>425</v>
      </c>
      <c r="C270" s="24">
        <v>44918</v>
      </c>
      <c r="D270" s="22">
        <v>3978</v>
      </c>
      <c r="E270" t="s">
        <v>745</v>
      </c>
    </row>
    <row r="271" spans="1:5" x14ac:dyDescent="0.35">
      <c r="A271" t="s">
        <v>354</v>
      </c>
      <c r="B271" t="s">
        <v>110</v>
      </c>
      <c r="C271" s="24">
        <v>44952</v>
      </c>
      <c r="D271" s="22">
        <v>2325</v>
      </c>
      <c r="E271" t="s">
        <v>745</v>
      </c>
    </row>
    <row r="272" spans="1:5" x14ac:dyDescent="0.35">
      <c r="A272" t="s">
        <v>355</v>
      </c>
      <c r="B272" t="s">
        <v>425</v>
      </c>
      <c r="C272" s="24">
        <v>44874</v>
      </c>
      <c r="D272" s="22">
        <v>10022</v>
      </c>
      <c r="E272" t="s">
        <v>27</v>
      </c>
    </row>
    <row r="273" spans="1:5" x14ac:dyDescent="0.35">
      <c r="A273" t="s">
        <v>356</v>
      </c>
      <c r="B273" t="s">
        <v>361</v>
      </c>
      <c r="C273" s="24">
        <v>44934</v>
      </c>
      <c r="D273" s="22">
        <v>14535</v>
      </c>
      <c r="E273" t="s">
        <v>745</v>
      </c>
    </row>
    <row r="274" spans="1:5" x14ac:dyDescent="0.35">
      <c r="A274" t="s">
        <v>357</v>
      </c>
      <c r="B274" t="s">
        <v>305</v>
      </c>
      <c r="C274" s="24">
        <v>44928</v>
      </c>
      <c r="D274" s="22">
        <v>8991</v>
      </c>
      <c r="E274" t="s">
        <v>27</v>
      </c>
    </row>
    <row r="275" spans="1:5" x14ac:dyDescent="0.35">
      <c r="A275" t="s">
        <v>358</v>
      </c>
      <c r="B275" t="s">
        <v>127</v>
      </c>
      <c r="C275" s="24">
        <v>44918</v>
      </c>
      <c r="D275" s="22">
        <v>7126</v>
      </c>
      <c r="E275" t="s">
        <v>4</v>
      </c>
    </row>
    <row r="276" spans="1:5" x14ac:dyDescent="0.35">
      <c r="A276" t="s">
        <v>359</v>
      </c>
      <c r="B276" t="s">
        <v>305</v>
      </c>
      <c r="C276" s="24">
        <v>44884</v>
      </c>
      <c r="D276" s="22">
        <v>3725</v>
      </c>
      <c r="E276" t="s">
        <v>4</v>
      </c>
    </row>
    <row r="277" spans="1:5" x14ac:dyDescent="0.35">
      <c r="A277" t="s">
        <v>360</v>
      </c>
      <c r="B277" t="s">
        <v>425</v>
      </c>
      <c r="C277" s="24">
        <v>44956</v>
      </c>
      <c r="D277" s="22">
        <v>17623</v>
      </c>
      <c r="E277" t="s">
        <v>745</v>
      </c>
    </row>
    <row r="278" spans="1:5" x14ac:dyDescent="0.35">
      <c r="A278" t="s">
        <v>362</v>
      </c>
      <c r="B278" t="s">
        <v>305</v>
      </c>
      <c r="C278" s="24">
        <v>44941</v>
      </c>
      <c r="D278" s="22">
        <v>14648</v>
      </c>
      <c r="E278" t="s">
        <v>27</v>
      </c>
    </row>
    <row r="279" spans="1:5" x14ac:dyDescent="0.35">
      <c r="A279" t="s">
        <v>363</v>
      </c>
      <c r="B279" t="s">
        <v>110</v>
      </c>
      <c r="C279" s="24">
        <v>44898</v>
      </c>
      <c r="D279" s="22">
        <v>15490</v>
      </c>
      <c r="E279" t="s">
        <v>4</v>
      </c>
    </row>
    <row r="280" spans="1:5" x14ac:dyDescent="0.35">
      <c r="A280" t="s">
        <v>364</v>
      </c>
      <c r="B280" t="s">
        <v>110</v>
      </c>
      <c r="C280" s="24">
        <v>44878</v>
      </c>
      <c r="D280" s="22">
        <v>16712</v>
      </c>
      <c r="E280" t="s">
        <v>745</v>
      </c>
    </row>
    <row r="281" spans="1:5" x14ac:dyDescent="0.35">
      <c r="A281" t="s">
        <v>365</v>
      </c>
      <c r="B281" t="s">
        <v>350</v>
      </c>
      <c r="C281" s="24">
        <v>44946</v>
      </c>
      <c r="D281" s="22">
        <v>5865</v>
      </c>
      <c r="E281" t="s">
        <v>27</v>
      </c>
    </row>
    <row r="282" spans="1:5" x14ac:dyDescent="0.35">
      <c r="A282" t="s">
        <v>366</v>
      </c>
      <c r="B282" t="s">
        <v>350</v>
      </c>
      <c r="C282" s="24">
        <v>44872</v>
      </c>
      <c r="D282" s="22">
        <v>12072</v>
      </c>
      <c r="E282" t="s">
        <v>4</v>
      </c>
    </row>
    <row r="283" spans="1:5" x14ac:dyDescent="0.35">
      <c r="A283" t="s">
        <v>367</v>
      </c>
      <c r="B283" t="s">
        <v>81</v>
      </c>
      <c r="C283" s="24">
        <v>44889</v>
      </c>
      <c r="D283" s="22">
        <v>2512</v>
      </c>
      <c r="E283" t="s">
        <v>4</v>
      </c>
    </row>
    <row r="284" spans="1:5" x14ac:dyDescent="0.35">
      <c r="A284" t="s">
        <v>368</v>
      </c>
      <c r="B284" t="s">
        <v>127</v>
      </c>
      <c r="C284" s="24">
        <v>44880</v>
      </c>
      <c r="D284" s="22">
        <v>19485</v>
      </c>
      <c r="E284" t="s">
        <v>4</v>
      </c>
    </row>
    <row r="285" spans="1:5" x14ac:dyDescent="0.35">
      <c r="A285" t="s">
        <v>369</v>
      </c>
      <c r="B285" t="s">
        <v>81</v>
      </c>
      <c r="C285" s="24">
        <v>44930</v>
      </c>
      <c r="D285" s="22">
        <v>11974</v>
      </c>
      <c r="E285" t="s">
        <v>27</v>
      </c>
    </row>
    <row r="286" spans="1:5" x14ac:dyDescent="0.35">
      <c r="A286" t="s">
        <v>370</v>
      </c>
      <c r="B286" t="s">
        <v>425</v>
      </c>
      <c r="C286" s="24">
        <v>44914</v>
      </c>
      <c r="D286" s="22">
        <v>1042</v>
      </c>
      <c r="E286" t="s">
        <v>745</v>
      </c>
    </row>
    <row r="287" spans="1:5" x14ac:dyDescent="0.35">
      <c r="A287" t="s">
        <v>371</v>
      </c>
      <c r="B287" t="s">
        <v>127</v>
      </c>
      <c r="C287" s="24">
        <v>44892</v>
      </c>
      <c r="D287" s="22">
        <v>14212</v>
      </c>
      <c r="E287" t="s">
        <v>4</v>
      </c>
    </row>
    <row r="288" spans="1:5" x14ac:dyDescent="0.35">
      <c r="A288" t="s">
        <v>372</v>
      </c>
      <c r="B288" t="s">
        <v>425</v>
      </c>
      <c r="C288" s="24">
        <v>44949</v>
      </c>
      <c r="D288" s="22">
        <v>15798</v>
      </c>
      <c r="E288" t="s">
        <v>4</v>
      </c>
    </row>
    <row r="289" spans="1:5" x14ac:dyDescent="0.35">
      <c r="A289" t="s">
        <v>373</v>
      </c>
      <c r="B289" t="s">
        <v>350</v>
      </c>
      <c r="C289" s="24">
        <v>44932</v>
      </c>
      <c r="D289" s="22">
        <v>2448</v>
      </c>
      <c r="E289" t="s">
        <v>27</v>
      </c>
    </row>
    <row r="290" spans="1:5" x14ac:dyDescent="0.35">
      <c r="A290" t="s">
        <v>374</v>
      </c>
      <c r="B290" t="s">
        <v>425</v>
      </c>
      <c r="C290" s="24">
        <v>44893</v>
      </c>
      <c r="D290" s="22">
        <v>2633</v>
      </c>
      <c r="E290" t="s">
        <v>27</v>
      </c>
    </row>
    <row r="291" spans="1:5" x14ac:dyDescent="0.35">
      <c r="A291" t="s">
        <v>375</v>
      </c>
      <c r="B291" t="s">
        <v>361</v>
      </c>
      <c r="C291" s="24">
        <v>44933</v>
      </c>
      <c r="D291" s="22">
        <v>10318</v>
      </c>
      <c r="E291" t="s">
        <v>745</v>
      </c>
    </row>
    <row r="292" spans="1:5" x14ac:dyDescent="0.35">
      <c r="A292" t="s">
        <v>376</v>
      </c>
      <c r="B292" t="s">
        <v>305</v>
      </c>
      <c r="C292" s="24">
        <v>44893</v>
      </c>
      <c r="D292" s="22">
        <v>7409</v>
      </c>
      <c r="E292" t="s">
        <v>27</v>
      </c>
    </row>
    <row r="293" spans="1:5" x14ac:dyDescent="0.35">
      <c r="A293" t="s">
        <v>377</v>
      </c>
      <c r="B293" t="s">
        <v>127</v>
      </c>
      <c r="C293" s="24">
        <v>44908</v>
      </c>
      <c r="D293" s="22">
        <v>15930</v>
      </c>
      <c r="E293" t="s">
        <v>4</v>
      </c>
    </row>
    <row r="294" spans="1:5" x14ac:dyDescent="0.35">
      <c r="A294" t="s">
        <v>378</v>
      </c>
      <c r="B294" t="s">
        <v>350</v>
      </c>
      <c r="C294" s="24">
        <v>44908</v>
      </c>
      <c r="D294" s="22">
        <v>12780</v>
      </c>
      <c r="E294" t="s">
        <v>4</v>
      </c>
    </row>
    <row r="295" spans="1:5" x14ac:dyDescent="0.35">
      <c r="A295" t="s">
        <v>379</v>
      </c>
      <c r="B295" t="s">
        <v>305</v>
      </c>
      <c r="C295" s="24">
        <v>44950</v>
      </c>
      <c r="D295" s="22">
        <v>11660</v>
      </c>
      <c r="E295" t="s">
        <v>4</v>
      </c>
    </row>
    <row r="296" spans="1:5" x14ac:dyDescent="0.35">
      <c r="A296" t="s">
        <v>380</v>
      </c>
      <c r="B296" t="s">
        <v>110</v>
      </c>
      <c r="C296" s="24">
        <v>44890</v>
      </c>
      <c r="D296" s="22">
        <v>7233</v>
      </c>
      <c r="E296" t="s">
        <v>745</v>
      </c>
    </row>
    <row r="297" spans="1:5" x14ac:dyDescent="0.35">
      <c r="A297" t="s">
        <v>381</v>
      </c>
      <c r="B297" t="s">
        <v>361</v>
      </c>
      <c r="C297" s="24">
        <v>44949</v>
      </c>
      <c r="D297" s="22">
        <v>11687</v>
      </c>
      <c r="E297" t="s">
        <v>745</v>
      </c>
    </row>
    <row r="298" spans="1:5" x14ac:dyDescent="0.35">
      <c r="A298" t="s">
        <v>382</v>
      </c>
      <c r="B298" t="s">
        <v>425</v>
      </c>
      <c r="C298" s="24">
        <v>44873</v>
      </c>
      <c r="D298" s="22">
        <v>11959</v>
      </c>
      <c r="E298" t="s">
        <v>745</v>
      </c>
    </row>
    <row r="299" spans="1:5" x14ac:dyDescent="0.35">
      <c r="A299" t="s">
        <v>383</v>
      </c>
      <c r="B299" t="s">
        <v>425</v>
      </c>
      <c r="C299" s="24">
        <v>44904</v>
      </c>
      <c r="D299" s="22">
        <v>2220</v>
      </c>
      <c r="E299" t="s">
        <v>4</v>
      </c>
    </row>
    <row r="300" spans="1:5" x14ac:dyDescent="0.35">
      <c r="A300" t="s">
        <v>384</v>
      </c>
      <c r="B300" t="s">
        <v>110</v>
      </c>
      <c r="C300" s="24">
        <v>44905</v>
      </c>
      <c r="D300" s="22">
        <v>14250</v>
      </c>
      <c r="E300" t="s">
        <v>27</v>
      </c>
    </row>
    <row r="301" spans="1:5" x14ac:dyDescent="0.35">
      <c r="A301" t="s">
        <v>385</v>
      </c>
      <c r="B301" t="s">
        <v>127</v>
      </c>
      <c r="C301" s="24">
        <v>44900</v>
      </c>
      <c r="D301" s="22">
        <v>11253</v>
      </c>
      <c r="E301" t="s">
        <v>745</v>
      </c>
    </row>
    <row r="302" spans="1:5" x14ac:dyDescent="0.35">
      <c r="A302" t="s">
        <v>386</v>
      </c>
      <c r="B302" t="s">
        <v>305</v>
      </c>
      <c r="C302" s="24">
        <v>44917</v>
      </c>
      <c r="D302" s="22">
        <v>3477</v>
      </c>
      <c r="E302" t="s">
        <v>4</v>
      </c>
    </row>
    <row r="303" spans="1:5" x14ac:dyDescent="0.35">
      <c r="A303" t="s">
        <v>387</v>
      </c>
      <c r="B303" t="s">
        <v>127</v>
      </c>
      <c r="C303" s="24">
        <v>44931</v>
      </c>
      <c r="D303" s="22">
        <v>1824</v>
      </c>
      <c r="E303" t="s">
        <v>4</v>
      </c>
    </row>
    <row r="304" spans="1:5" x14ac:dyDescent="0.35">
      <c r="A304" t="s">
        <v>388</v>
      </c>
      <c r="B304" t="s">
        <v>110</v>
      </c>
      <c r="C304" s="24">
        <v>44935</v>
      </c>
      <c r="D304" s="22">
        <v>19113</v>
      </c>
      <c r="E304" t="s">
        <v>27</v>
      </c>
    </row>
    <row r="305" spans="1:5" x14ac:dyDescent="0.35">
      <c r="A305" t="s">
        <v>389</v>
      </c>
      <c r="B305" t="s">
        <v>350</v>
      </c>
      <c r="C305" s="24">
        <v>44902</v>
      </c>
      <c r="D305" s="22">
        <v>18004</v>
      </c>
      <c r="E305" t="s">
        <v>745</v>
      </c>
    </row>
    <row r="306" spans="1:5" x14ac:dyDescent="0.35">
      <c r="A306" t="s">
        <v>390</v>
      </c>
      <c r="B306" t="s">
        <v>81</v>
      </c>
      <c r="C306" s="24">
        <v>44941</v>
      </c>
      <c r="D306" s="22">
        <v>4734</v>
      </c>
      <c r="E306" t="s">
        <v>27</v>
      </c>
    </row>
    <row r="307" spans="1:5" x14ac:dyDescent="0.35">
      <c r="A307" t="s">
        <v>391</v>
      </c>
      <c r="B307" t="s">
        <v>305</v>
      </c>
      <c r="C307" s="24">
        <v>44872</v>
      </c>
      <c r="D307" s="22">
        <v>17772</v>
      </c>
      <c r="E307" t="s">
        <v>745</v>
      </c>
    </row>
    <row r="308" spans="1:5" x14ac:dyDescent="0.35">
      <c r="A308" t="s">
        <v>392</v>
      </c>
      <c r="B308" t="s">
        <v>110</v>
      </c>
      <c r="C308" s="24">
        <v>44893</v>
      </c>
      <c r="D308" s="22">
        <v>13609</v>
      </c>
      <c r="E308" t="s">
        <v>27</v>
      </c>
    </row>
    <row r="309" spans="1:5" x14ac:dyDescent="0.35">
      <c r="A309" t="s">
        <v>393</v>
      </c>
      <c r="B309" t="s">
        <v>127</v>
      </c>
      <c r="C309" s="24">
        <v>44947</v>
      </c>
      <c r="D309" s="22">
        <v>13799</v>
      </c>
      <c r="E309" t="s">
        <v>27</v>
      </c>
    </row>
    <row r="310" spans="1:5" x14ac:dyDescent="0.35">
      <c r="A310" t="s">
        <v>394</v>
      </c>
      <c r="B310" t="s">
        <v>81</v>
      </c>
      <c r="C310" s="24">
        <v>44879</v>
      </c>
      <c r="D310" s="22">
        <v>19248</v>
      </c>
      <c r="E310" t="s">
        <v>4</v>
      </c>
    </row>
    <row r="311" spans="1:5" x14ac:dyDescent="0.35">
      <c r="A311" t="s">
        <v>395</v>
      </c>
      <c r="B311" t="s">
        <v>127</v>
      </c>
      <c r="C311" s="24">
        <v>44948</v>
      </c>
      <c r="D311" s="22">
        <v>9150</v>
      </c>
      <c r="E311" t="s">
        <v>27</v>
      </c>
    </row>
    <row r="312" spans="1:5" x14ac:dyDescent="0.35">
      <c r="A312" t="s">
        <v>396</v>
      </c>
      <c r="B312" t="s">
        <v>305</v>
      </c>
      <c r="C312" s="24">
        <v>44949</v>
      </c>
      <c r="D312" s="22">
        <v>15516</v>
      </c>
      <c r="E312" t="s">
        <v>745</v>
      </c>
    </row>
    <row r="313" spans="1:5" x14ac:dyDescent="0.35">
      <c r="A313" t="s">
        <v>397</v>
      </c>
      <c r="B313" t="s">
        <v>305</v>
      </c>
      <c r="C313" s="24">
        <v>44899</v>
      </c>
      <c r="D313" s="22">
        <v>10301</v>
      </c>
      <c r="E313" t="s">
        <v>27</v>
      </c>
    </row>
    <row r="314" spans="1:5" x14ac:dyDescent="0.35">
      <c r="A314" t="s">
        <v>398</v>
      </c>
      <c r="B314" t="s">
        <v>81</v>
      </c>
      <c r="C314" s="24">
        <v>44890</v>
      </c>
      <c r="D314" s="22">
        <v>2057</v>
      </c>
      <c r="E314" t="s">
        <v>745</v>
      </c>
    </row>
    <row r="315" spans="1:5" x14ac:dyDescent="0.35">
      <c r="A315" t="s">
        <v>399</v>
      </c>
      <c r="B315" t="s">
        <v>305</v>
      </c>
      <c r="C315" s="24">
        <v>44920</v>
      </c>
      <c r="D315" s="22">
        <v>4331</v>
      </c>
      <c r="E315" t="s">
        <v>27</v>
      </c>
    </row>
    <row r="316" spans="1:5" x14ac:dyDescent="0.35">
      <c r="A316" t="s">
        <v>400</v>
      </c>
      <c r="B316" t="s">
        <v>425</v>
      </c>
      <c r="C316" s="24">
        <v>44951</v>
      </c>
      <c r="D316" s="22">
        <v>14287</v>
      </c>
      <c r="E316" t="s">
        <v>745</v>
      </c>
    </row>
    <row r="317" spans="1:5" x14ac:dyDescent="0.35">
      <c r="A317" t="s">
        <v>401</v>
      </c>
      <c r="B317" t="s">
        <v>127</v>
      </c>
      <c r="C317" s="24">
        <v>44927</v>
      </c>
      <c r="D317" s="22">
        <v>18641</v>
      </c>
      <c r="E317" t="s">
        <v>27</v>
      </c>
    </row>
    <row r="318" spans="1:5" x14ac:dyDescent="0.35">
      <c r="A318" t="s">
        <v>402</v>
      </c>
      <c r="B318" t="s">
        <v>425</v>
      </c>
      <c r="C318" s="24">
        <v>44895</v>
      </c>
      <c r="D318" s="22">
        <v>6234</v>
      </c>
      <c r="E318" t="s">
        <v>745</v>
      </c>
    </row>
    <row r="319" spans="1:5" x14ac:dyDescent="0.35">
      <c r="A319" t="s">
        <v>403</v>
      </c>
      <c r="B319" t="s">
        <v>425</v>
      </c>
      <c r="C319" s="24">
        <v>44873</v>
      </c>
      <c r="D319" s="22">
        <v>2398</v>
      </c>
      <c r="E319" t="s">
        <v>27</v>
      </c>
    </row>
    <row r="320" spans="1:5" x14ac:dyDescent="0.35">
      <c r="A320" t="s">
        <v>404</v>
      </c>
      <c r="B320" t="s">
        <v>361</v>
      </c>
      <c r="C320" s="24">
        <v>44948</v>
      </c>
      <c r="D320" s="22">
        <v>12325</v>
      </c>
      <c r="E320" t="s">
        <v>27</v>
      </c>
    </row>
    <row r="321" spans="1:5" x14ac:dyDescent="0.35">
      <c r="A321" t="s">
        <v>405</v>
      </c>
      <c r="B321" t="s">
        <v>425</v>
      </c>
      <c r="C321" s="24">
        <v>44932</v>
      </c>
      <c r="D321" s="22">
        <v>6392</v>
      </c>
      <c r="E321" t="s">
        <v>27</v>
      </c>
    </row>
    <row r="322" spans="1:5" x14ac:dyDescent="0.35">
      <c r="A322" t="s">
        <v>406</v>
      </c>
      <c r="B322" t="s">
        <v>425</v>
      </c>
      <c r="C322" s="24">
        <v>44885</v>
      </c>
      <c r="D322" s="22">
        <v>9859</v>
      </c>
      <c r="E322" t="s">
        <v>27</v>
      </c>
    </row>
    <row r="323" spans="1:5" x14ac:dyDescent="0.35">
      <c r="A323" t="s">
        <v>407</v>
      </c>
      <c r="B323" t="s">
        <v>127</v>
      </c>
      <c r="C323" s="24">
        <v>44945</v>
      </c>
      <c r="D323" s="22">
        <v>15964</v>
      </c>
      <c r="E323" t="s">
        <v>4</v>
      </c>
    </row>
  </sheetData>
  <dataValidations count="2">
    <dataValidation type="list" allowBlank="1" showInputMessage="1" showErrorMessage="1" sqref="G7 G11" xr:uid="{6239B1AB-DA7C-47CC-933F-9A3359F189DB}">
      <formula1>"Adidas,AutoZone,Hasbro,Nike,Nvidia,Home Depot,QUALCOMM"</formula1>
    </dataValidation>
    <dataValidation type="list" allowBlank="1" showInputMessage="1" showErrorMessage="1" sqref="H11" xr:uid="{D8A2F28D-3F47-4BC3-9620-66C05EEC5FEB}">
      <formula1>"Brasil,República Popular China,Argentina"</formula1>
    </dataValidation>
  </dataValidations>
  <hyperlinks>
    <hyperlink ref="F1" location="'Lo que aprenderás'!A1" display="Inicio" xr:uid="{E3EA66DB-3F0D-4832-960E-EC3FAFE4C78E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00491-284B-43E9-8CA1-BA2BC5DC0724}">
  <sheetPr codeName="Hoja3"/>
  <dimension ref="A1:H323"/>
  <sheetViews>
    <sheetView topLeftCell="B1" zoomScale="145" zoomScaleNormal="145" workbookViewId="0">
      <selection activeCell="F1" sqref="F1"/>
    </sheetView>
  </sheetViews>
  <sheetFormatPr baseColWidth="10" defaultRowHeight="14.5" x14ac:dyDescent="0.35"/>
  <cols>
    <col min="1" max="1" width="11.54296875" bestFit="1" customWidth="1"/>
    <col min="2" max="2" width="12.1796875" bestFit="1" customWidth="1"/>
    <col min="3" max="3" width="18.26953125" bestFit="1" customWidth="1"/>
    <col min="4" max="4" width="18.26953125" customWidth="1"/>
    <col min="5" max="5" width="27.26953125" bestFit="1" customWidth="1"/>
    <col min="6" max="6" width="9.453125" customWidth="1"/>
    <col min="7" max="7" width="19.7265625" customWidth="1"/>
    <col min="8" max="8" width="16.7265625" customWidth="1"/>
    <col min="9" max="9" width="21.81640625" customWidth="1"/>
  </cols>
  <sheetData>
    <row r="1" spans="1:8" ht="18.5" x14ac:dyDescent="0.45">
      <c r="A1" s="54" t="s">
        <v>55</v>
      </c>
      <c r="B1" s="54" t="s">
        <v>78</v>
      </c>
      <c r="C1" s="54" t="s">
        <v>79</v>
      </c>
      <c r="D1" s="54" t="s">
        <v>408</v>
      </c>
      <c r="E1" s="54" t="s">
        <v>409</v>
      </c>
      <c r="F1" s="12" t="s">
        <v>35</v>
      </c>
      <c r="G1" t="s">
        <v>779</v>
      </c>
    </row>
    <row r="2" spans="1:8" x14ac:dyDescent="0.35">
      <c r="A2" t="s">
        <v>80</v>
      </c>
      <c r="B2" t="s">
        <v>425</v>
      </c>
      <c r="C2" s="24">
        <v>44903</v>
      </c>
      <c r="D2" s="22">
        <v>2294</v>
      </c>
      <c r="E2" t="e" vm="2">
        <v>#VALUE!</v>
      </c>
      <c r="G2" s="61" t="s">
        <v>55</v>
      </c>
      <c r="H2" s="61" t="s">
        <v>88</v>
      </c>
    </row>
    <row r="3" spans="1:8" x14ac:dyDescent="0.35">
      <c r="A3" t="s">
        <v>82</v>
      </c>
      <c r="B3" t="s">
        <v>127</v>
      </c>
      <c r="C3" s="24">
        <v>44870</v>
      </c>
      <c r="D3" s="22">
        <v>13932</v>
      </c>
      <c r="E3" t="e" vm="4">
        <v>#VALUE!</v>
      </c>
      <c r="G3" s="48" t="s">
        <v>78</v>
      </c>
      <c r="H3" s="1" t="str">
        <f>VLOOKUP(H2,A:B,2,FALSE)</f>
        <v>Home Depot</v>
      </c>
    </row>
    <row r="4" spans="1:8" x14ac:dyDescent="0.35">
      <c r="A4" t="s">
        <v>83</v>
      </c>
      <c r="B4" t="s">
        <v>81</v>
      </c>
      <c r="C4" s="24">
        <v>44937</v>
      </c>
      <c r="D4" s="22">
        <v>5277</v>
      </c>
      <c r="E4" t="e" vm="6">
        <v>#VALUE!</v>
      </c>
      <c r="G4" s="48" t="s">
        <v>408</v>
      </c>
      <c r="H4" s="63">
        <f>VLOOKUP(H2,A:D,4,FALSE)</f>
        <v>14682</v>
      </c>
    </row>
    <row r="5" spans="1:8" x14ac:dyDescent="0.35">
      <c r="A5" t="s">
        <v>84</v>
      </c>
      <c r="B5" t="s">
        <v>350</v>
      </c>
      <c r="C5" s="24">
        <v>44909</v>
      </c>
      <c r="D5" s="22">
        <v>16085</v>
      </c>
      <c r="E5" t="e" vm="4">
        <v>#VALUE!</v>
      </c>
    </row>
    <row r="6" spans="1:8" x14ac:dyDescent="0.35">
      <c r="A6" t="s">
        <v>85</v>
      </c>
      <c r="B6" t="s">
        <v>425</v>
      </c>
      <c r="C6" s="24">
        <v>44939</v>
      </c>
      <c r="D6" s="22">
        <v>16357</v>
      </c>
      <c r="E6" t="e" vm="4">
        <v>#VALUE!</v>
      </c>
    </row>
    <row r="7" spans="1:8" x14ac:dyDescent="0.35">
      <c r="A7" t="s">
        <v>86</v>
      </c>
      <c r="B7" t="s">
        <v>350</v>
      </c>
      <c r="C7" s="24">
        <v>44950</v>
      </c>
      <c r="D7" s="22">
        <v>19413</v>
      </c>
      <c r="E7" t="e" vm="6">
        <v>#VALUE!</v>
      </c>
    </row>
    <row r="8" spans="1:8" x14ac:dyDescent="0.35">
      <c r="A8" t="s">
        <v>87</v>
      </c>
      <c r="B8" t="s">
        <v>361</v>
      </c>
      <c r="C8" s="24">
        <v>44917</v>
      </c>
      <c r="D8" s="22">
        <v>11388</v>
      </c>
      <c r="E8" t="e" vm="6">
        <v>#VALUE!</v>
      </c>
    </row>
    <row r="9" spans="1:8" x14ac:dyDescent="0.35">
      <c r="A9" t="s">
        <v>88</v>
      </c>
      <c r="B9" t="s">
        <v>305</v>
      </c>
      <c r="C9" s="24">
        <v>44945</v>
      </c>
      <c r="D9" s="22">
        <v>14682</v>
      </c>
      <c r="E9" t="e" vm="6">
        <v>#VALUE!</v>
      </c>
    </row>
    <row r="10" spans="1:8" x14ac:dyDescent="0.35">
      <c r="A10" t="s">
        <v>89</v>
      </c>
      <c r="B10" t="s">
        <v>110</v>
      </c>
      <c r="C10" s="24">
        <v>44945</v>
      </c>
      <c r="D10" s="22">
        <v>11295</v>
      </c>
      <c r="E10" t="e" vm="4">
        <v>#VALUE!</v>
      </c>
    </row>
    <row r="11" spans="1:8" x14ac:dyDescent="0.35">
      <c r="A11" t="s">
        <v>90</v>
      </c>
      <c r="B11" t="s">
        <v>425</v>
      </c>
      <c r="C11" s="24">
        <v>44885</v>
      </c>
      <c r="D11" s="22">
        <v>12040</v>
      </c>
      <c r="E11" t="e" vm="2">
        <v>#VALUE!</v>
      </c>
    </row>
    <row r="12" spans="1:8" x14ac:dyDescent="0.35">
      <c r="A12" t="s">
        <v>91</v>
      </c>
      <c r="B12" t="s">
        <v>81</v>
      </c>
      <c r="C12" s="24">
        <v>44913</v>
      </c>
      <c r="D12" s="22">
        <v>8892</v>
      </c>
      <c r="E12" t="e" vm="6">
        <v>#VALUE!</v>
      </c>
    </row>
    <row r="13" spans="1:8" x14ac:dyDescent="0.35">
      <c r="A13" t="s">
        <v>92</v>
      </c>
      <c r="B13" t="s">
        <v>305</v>
      </c>
      <c r="C13" s="24">
        <v>44908</v>
      </c>
      <c r="D13" s="22">
        <v>4172</v>
      </c>
      <c r="E13" t="e" vm="4">
        <v>#VALUE!</v>
      </c>
    </row>
    <row r="14" spans="1:8" x14ac:dyDescent="0.35">
      <c r="A14" t="s">
        <v>93</v>
      </c>
      <c r="B14" t="s">
        <v>361</v>
      </c>
      <c r="C14" s="24">
        <v>44880</v>
      </c>
      <c r="D14" s="22">
        <v>14820</v>
      </c>
      <c r="E14" t="e" vm="2">
        <v>#VALUE!</v>
      </c>
    </row>
    <row r="15" spans="1:8" x14ac:dyDescent="0.35">
      <c r="A15" t="s">
        <v>94</v>
      </c>
      <c r="B15" t="s">
        <v>361</v>
      </c>
      <c r="C15" s="24">
        <v>44900</v>
      </c>
      <c r="D15" s="22">
        <v>16881</v>
      </c>
      <c r="E15" t="e" vm="4">
        <v>#VALUE!</v>
      </c>
    </row>
    <row r="16" spans="1:8" x14ac:dyDescent="0.35">
      <c r="A16" t="s">
        <v>95</v>
      </c>
      <c r="B16" t="s">
        <v>305</v>
      </c>
      <c r="C16" s="24">
        <v>44944</v>
      </c>
      <c r="D16" s="22">
        <v>2181</v>
      </c>
      <c r="E16" t="e" vm="4">
        <v>#VALUE!</v>
      </c>
    </row>
    <row r="17" spans="1:5" x14ac:dyDescent="0.35">
      <c r="A17" t="s">
        <v>96</v>
      </c>
      <c r="B17" t="s">
        <v>305</v>
      </c>
      <c r="C17" s="24">
        <v>44925</v>
      </c>
      <c r="D17" s="22">
        <v>16813</v>
      </c>
      <c r="E17" t="e" vm="4">
        <v>#VALUE!</v>
      </c>
    </row>
    <row r="18" spans="1:5" x14ac:dyDescent="0.35">
      <c r="A18" t="s">
        <v>97</v>
      </c>
      <c r="B18" t="s">
        <v>127</v>
      </c>
      <c r="C18" s="24">
        <v>44929</v>
      </c>
      <c r="D18" s="22">
        <v>3336</v>
      </c>
      <c r="E18" t="e" vm="2">
        <v>#VALUE!</v>
      </c>
    </row>
    <row r="19" spans="1:5" x14ac:dyDescent="0.35">
      <c r="A19" t="s">
        <v>98</v>
      </c>
      <c r="B19" t="s">
        <v>361</v>
      </c>
      <c r="C19" s="24">
        <v>44935</v>
      </c>
      <c r="D19" s="22">
        <v>1573</v>
      </c>
      <c r="E19" t="e" vm="2">
        <v>#VALUE!</v>
      </c>
    </row>
    <row r="20" spans="1:5" x14ac:dyDescent="0.35">
      <c r="A20" t="s">
        <v>99</v>
      </c>
      <c r="B20" t="s">
        <v>425</v>
      </c>
      <c r="C20" s="24">
        <v>44947</v>
      </c>
      <c r="D20" s="22">
        <v>2796</v>
      </c>
      <c r="E20" t="e" vm="4">
        <v>#VALUE!</v>
      </c>
    </row>
    <row r="21" spans="1:5" x14ac:dyDescent="0.35">
      <c r="A21" t="s">
        <v>100</v>
      </c>
      <c r="B21" t="s">
        <v>110</v>
      </c>
      <c r="C21" s="24">
        <v>44878</v>
      </c>
      <c r="D21" s="22">
        <v>18910</v>
      </c>
      <c r="E21" t="e" vm="4">
        <v>#VALUE!</v>
      </c>
    </row>
    <row r="22" spans="1:5" x14ac:dyDescent="0.35">
      <c r="A22" t="s">
        <v>101</v>
      </c>
      <c r="B22" t="s">
        <v>305</v>
      </c>
      <c r="C22" s="24">
        <v>44870</v>
      </c>
      <c r="D22" s="22">
        <v>6618</v>
      </c>
      <c r="E22" t="e" vm="4">
        <v>#VALUE!</v>
      </c>
    </row>
    <row r="23" spans="1:5" x14ac:dyDescent="0.35">
      <c r="A23" t="s">
        <v>102</v>
      </c>
      <c r="B23" t="s">
        <v>425</v>
      </c>
      <c r="C23" s="24">
        <v>44907</v>
      </c>
      <c r="D23" s="22">
        <v>6272</v>
      </c>
      <c r="E23" t="e" vm="6">
        <v>#VALUE!</v>
      </c>
    </row>
    <row r="24" spans="1:5" x14ac:dyDescent="0.35">
      <c r="A24" t="s">
        <v>103</v>
      </c>
      <c r="B24" t="s">
        <v>350</v>
      </c>
      <c r="C24" s="24">
        <v>44896</v>
      </c>
      <c r="D24" s="22">
        <v>18100</v>
      </c>
      <c r="E24" t="e" vm="6">
        <v>#VALUE!</v>
      </c>
    </row>
    <row r="25" spans="1:5" x14ac:dyDescent="0.35">
      <c r="A25" t="s">
        <v>104</v>
      </c>
      <c r="B25" t="s">
        <v>361</v>
      </c>
      <c r="C25" s="24">
        <v>44876</v>
      </c>
      <c r="D25" s="22">
        <v>14817</v>
      </c>
      <c r="E25" t="e" vm="6">
        <v>#VALUE!</v>
      </c>
    </row>
    <row r="26" spans="1:5" x14ac:dyDescent="0.35">
      <c r="A26" t="s">
        <v>105</v>
      </c>
      <c r="B26" t="s">
        <v>110</v>
      </c>
      <c r="C26" s="24">
        <v>44878</v>
      </c>
      <c r="D26" s="22">
        <v>9644</v>
      </c>
      <c r="E26" t="e" vm="6">
        <v>#VALUE!</v>
      </c>
    </row>
    <row r="27" spans="1:5" x14ac:dyDescent="0.35">
      <c r="A27" t="s">
        <v>106</v>
      </c>
      <c r="B27" t="s">
        <v>305</v>
      </c>
      <c r="C27" s="24">
        <v>44955</v>
      </c>
      <c r="D27" s="22">
        <v>1476</v>
      </c>
      <c r="E27" t="e" vm="6">
        <v>#VALUE!</v>
      </c>
    </row>
    <row r="28" spans="1:5" x14ac:dyDescent="0.35">
      <c r="A28" t="s">
        <v>107</v>
      </c>
      <c r="B28" t="s">
        <v>425</v>
      </c>
      <c r="C28" s="24">
        <v>44953</v>
      </c>
      <c r="D28" s="22">
        <v>19430</v>
      </c>
      <c r="E28" t="e" vm="2">
        <v>#VALUE!</v>
      </c>
    </row>
    <row r="29" spans="1:5" x14ac:dyDescent="0.35">
      <c r="A29" t="s">
        <v>108</v>
      </c>
      <c r="B29" t="s">
        <v>350</v>
      </c>
      <c r="C29" s="24">
        <v>44930</v>
      </c>
      <c r="D29" s="22">
        <v>17519</v>
      </c>
      <c r="E29" t="e" vm="4">
        <v>#VALUE!</v>
      </c>
    </row>
    <row r="30" spans="1:5" x14ac:dyDescent="0.35">
      <c r="A30" t="s">
        <v>109</v>
      </c>
      <c r="B30" t="s">
        <v>127</v>
      </c>
      <c r="C30" s="24">
        <v>44873</v>
      </c>
      <c r="D30" s="22">
        <v>5650</v>
      </c>
      <c r="E30" t="e" vm="6">
        <v>#VALUE!</v>
      </c>
    </row>
    <row r="31" spans="1:5" x14ac:dyDescent="0.35">
      <c r="A31" t="s">
        <v>111</v>
      </c>
      <c r="B31" t="s">
        <v>361</v>
      </c>
      <c r="C31" s="24">
        <v>44906</v>
      </c>
      <c r="D31" s="22">
        <v>14642</v>
      </c>
      <c r="E31" t="e" vm="4">
        <v>#VALUE!</v>
      </c>
    </row>
    <row r="32" spans="1:5" x14ac:dyDescent="0.35">
      <c r="A32" t="s">
        <v>112</v>
      </c>
      <c r="B32" t="s">
        <v>361</v>
      </c>
      <c r="C32" s="24">
        <v>44936</v>
      </c>
      <c r="D32" s="22">
        <v>8335</v>
      </c>
      <c r="E32" t="e" vm="4">
        <v>#VALUE!</v>
      </c>
    </row>
    <row r="33" spans="1:5" x14ac:dyDescent="0.35">
      <c r="A33" t="s">
        <v>113</v>
      </c>
      <c r="B33" t="s">
        <v>81</v>
      </c>
      <c r="C33" s="24">
        <v>44880</v>
      </c>
      <c r="D33" s="22">
        <v>2905</v>
      </c>
      <c r="E33" t="e" vm="4">
        <v>#VALUE!</v>
      </c>
    </row>
    <row r="34" spans="1:5" x14ac:dyDescent="0.35">
      <c r="A34" t="s">
        <v>114</v>
      </c>
      <c r="B34" t="s">
        <v>425</v>
      </c>
      <c r="C34" s="24">
        <v>44921</v>
      </c>
      <c r="D34" s="22">
        <v>13977</v>
      </c>
      <c r="E34" t="e" vm="4">
        <v>#VALUE!</v>
      </c>
    </row>
    <row r="35" spans="1:5" x14ac:dyDescent="0.35">
      <c r="A35" t="s">
        <v>115</v>
      </c>
      <c r="B35" t="s">
        <v>361</v>
      </c>
      <c r="C35" s="24">
        <v>44888</v>
      </c>
      <c r="D35" s="22">
        <v>10819</v>
      </c>
      <c r="E35" t="e" vm="4">
        <v>#VALUE!</v>
      </c>
    </row>
    <row r="36" spans="1:5" x14ac:dyDescent="0.35">
      <c r="A36" t="s">
        <v>116</v>
      </c>
      <c r="B36" t="s">
        <v>81</v>
      </c>
      <c r="C36" s="24">
        <v>44914</v>
      </c>
      <c r="D36" s="22">
        <v>14226</v>
      </c>
      <c r="E36" t="e" vm="6">
        <v>#VALUE!</v>
      </c>
    </row>
    <row r="37" spans="1:5" x14ac:dyDescent="0.35">
      <c r="A37" t="s">
        <v>117</v>
      </c>
      <c r="B37" t="s">
        <v>361</v>
      </c>
      <c r="C37" s="24">
        <v>44939</v>
      </c>
      <c r="D37" s="22">
        <v>14054</v>
      </c>
      <c r="E37" t="e" vm="2">
        <v>#VALUE!</v>
      </c>
    </row>
    <row r="38" spans="1:5" x14ac:dyDescent="0.35">
      <c r="A38" t="s">
        <v>118</v>
      </c>
      <c r="B38" t="s">
        <v>127</v>
      </c>
      <c r="C38" s="24">
        <v>44938</v>
      </c>
      <c r="D38" s="22">
        <v>14015</v>
      </c>
      <c r="E38" t="e" vm="4">
        <v>#VALUE!</v>
      </c>
    </row>
    <row r="39" spans="1:5" x14ac:dyDescent="0.35">
      <c r="A39" t="s">
        <v>119</v>
      </c>
      <c r="B39" t="s">
        <v>81</v>
      </c>
      <c r="C39" s="24">
        <v>44943</v>
      </c>
      <c r="D39" s="22">
        <v>13645</v>
      </c>
      <c r="E39" t="e" vm="2">
        <v>#VALUE!</v>
      </c>
    </row>
    <row r="40" spans="1:5" x14ac:dyDescent="0.35">
      <c r="A40" t="s">
        <v>120</v>
      </c>
      <c r="B40" t="s">
        <v>425</v>
      </c>
      <c r="C40" s="24">
        <v>44937</v>
      </c>
      <c r="D40" s="22">
        <v>14017</v>
      </c>
      <c r="E40" t="e" vm="6">
        <v>#VALUE!</v>
      </c>
    </row>
    <row r="41" spans="1:5" x14ac:dyDescent="0.35">
      <c r="A41" t="s">
        <v>121</v>
      </c>
      <c r="B41" t="s">
        <v>425</v>
      </c>
      <c r="C41" s="24">
        <v>44905</v>
      </c>
      <c r="D41" s="22">
        <v>3229</v>
      </c>
      <c r="E41" t="e" vm="2">
        <v>#VALUE!</v>
      </c>
    </row>
    <row r="42" spans="1:5" x14ac:dyDescent="0.35">
      <c r="A42" t="s">
        <v>122</v>
      </c>
      <c r="B42" t="s">
        <v>305</v>
      </c>
      <c r="C42" s="24">
        <v>44897</v>
      </c>
      <c r="D42" s="22">
        <v>13654</v>
      </c>
      <c r="E42" t="e" vm="2">
        <v>#VALUE!</v>
      </c>
    </row>
    <row r="43" spans="1:5" x14ac:dyDescent="0.35">
      <c r="A43" t="s">
        <v>123</v>
      </c>
      <c r="B43" t="s">
        <v>350</v>
      </c>
      <c r="C43" s="24">
        <v>44887</v>
      </c>
      <c r="D43" s="22">
        <v>15893</v>
      </c>
      <c r="E43" t="e" vm="2">
        <v>#VALUE!</v>
      </c>
    </row>
    <row r="44" spans="1:5" x14ac:dyDescent="0.35">
      <c r="A44" t="s">
        <v>124</v>
      </c>
      <c r="B44" t="s">
        <v>127</v>
      </c>
      <c r="C44" s="24">
        <v>44875</v>
      </c>
      <c r="D44" s="22">
        <v>7333</v>
      </c>
      <c r="E44" t="e" vm="6">
        <v>#VALUE!</v>
      </c>
    </row>
    <row r="45" spans="1:5" x14ac:dyDescent="0.35">
      <c r="A45" t="s">
        <v>125</v>
      </c>
      <c r="B45" t="s">
        <v>361</v>
      </c>
      <c r="C45" s="24">
        <v>44867</v>
      </c>
      <c r="D45" s="22">
        <v>5222</v>
      </c>
      <c r="E45" t="e" vm="2">
        <v>#VALUE!</v>
      </c>
    </row>
    <row r="46" spans="1:5" x14ac:dyDescent="0.35">
      <c r="A46" t="s">
        <v>126</v>
      </c>
      <c r="B46" t="s">
        <v>127</v>
      </c>
      <c r="C46" s="24">
        <v>44936</v>
      </c>
      <c r="D46" s="22">
        <v>9372</v>
      </c>
      <c r="E46" t="e" vm="2">
        <v>#VALUE!</v>
      </c>
    </row>
    <row r="47" spans="1:5" x14ac:dyDescent="0.35">
      <c r="A47" t="s">
        <v>128</v>
      </c>
      <c r="B47" t="s">
        <v>350</v>
      </c>
      <c r="C47" s="24">
        <v>44940</v>
      </c>
      <c r="D47" s="22">
        <v>10322</v>
      </c>
      <c r="E47" t="e" vm="6">
        <v>#VALUE!</v>
      </c>
    </row>
    <row r="48" spans="1:5" x14ac:dyDescent="0.35">
      <c r="A48" t="s">
        <v>129</v>
      </c>
      <c r="B48" t="s">
        <v>81</v>
      </c>
      <c r="C48" s="24">
        <v>44902</v>
      </c>
      <c r="D48" s="22">
        <v>11382</v>
      </c>
      <c r="E48" t="e" vm="6">
        <v>#VALUE!</v>
      </c>
    </row>
    <row r="49" spans="1:5" x14ac:dyDescent="0.35">
      <c r="A49" t="s">
        <v>130</v>
      </c>
      <c r="B49" t="s">
        <v>110</v>
      </c>
      <c r="C49" s="24">
        <v>44933</v>
      </c>
      <c r="D49" s="22">
        <v>12591</v>
      </c>
      <c r="E49" t="e" vm="4">
        <v>#VALUE!</v>
      </c>
    </row>
    <row r="50" spans="1:5" x14ac:dyDescent="0.35">
      <c r="A50" t="s">
        <v>131</v>
      </c>
      <c r="B50" t="s">
        <v>110</v>
      </c>
      <c r="C50" s="24">
        <v>44930</v>
      </c>
      <c r="D50" s="22">
        <v>9882</v>
      </c>
      <c r="E50" t="e" vm="4">
        <v>#VALUE!</v>
      </c>
    </row>
    <row r="51" spans="1:5" x14ac:dyDescent="0.35">
      <c r="A51" t="s">
        <v>132</v>
      </c>
      <c r="B51" t="s">
        <v>350</v>
      </c>
      <c r="C51" s="24">
        <v>44882</v>
      </c>
      <c r="D51" s="22">
        <v>7292</v>
      </c>
      <c r="E51" t="e" vm="6">
        <v>#VALUE!</v>
      </c>
    </row>
    <row r="52" spans="1:5" x14ac:dyDescent="0.35">
      <c r="A52" t="s">
        <v>133</v>
      </c>
      <c r="B52" t="s">
        <v>110</v>
      </c>
      <c r="C52" s="24">
        <v>44889</v>
      </c>
      <c r="D52" s="22">
        <v>4172</v>
      </c>
      <c r="E52" t="e" vm="6">
        <v>#VALUE!</v>
      </c>
    </row>
    <row r="53" spans="1:5" x14ac:dyDescent="0.35">
      <c r="A53" t="s">
        <v>134</v>
      </c>
      <c r="B53" t="s">
        <v>350</v>
      </c>
      <c r="C53" s="24">
        <v>44895</v>
      </c>
      <c r="D53" s="22">
        <v>2943</v>
      </c>
      <c r="E53" t="e" vm="2">
        <v>#VALUE!</v>
      </c>
    </row>
    <row r="54" spans="1:5" x14ac:dyDescent="0.35">
      <c r="A54" t="s">
        <v>135</v>
      </c>
      <c r="B54" t="s">
        <v>127</v>
      </c>
      <c r="C54" s="24">
        <v>44948</v>
      </c>
      <c r="D54" s="22">
        <v>13460</v>
      </c>
      <c r="E54" t="e" vm="6">
        <v>#VALUE!</v>
      </c>
    </row>
    <row r="55" spans="1:5" x14ac:dyDescent="0.35">
      <c r="A55" t="s">
        <v>136</v>
      </c>
      <c r="B55" t="s">
        <v>305</v>
      </c>
      <c r="C55" s="24">
        <v>44912</v>
      </c>
      <c r="D55" s="22">
        <v>16662</v>
      </c>
      <c r="E55" t="e" vm="6">
        <v>#VALUE!</v>
      </c>
    </row>
    <row r="56" spans="1:5" x14ac:dyDescent="0.35">
      <c r="A56" t="s">
        <v>137</v>
      </c>
      <c r="B56" t="s">
        <v>350</v>
      </c>
      <c r="C56" s="24">
        <v>44895</v>
      </c>
      <c r="D56" s="22">
        <v>2665</v>
      </c>
      <c r="E56" t="e" vm="4">
        <v>#VALUE!</v>
      </c>
    </row>
    <row r="57" spans="1:5" x14ac:dyDescent="0.35">
      <c r="A57" t="s">
        <v>138</v>
      </c>
      <c r="B57" t="s">
        <v>81</v>
      </c>
      <c r="C57" s="24">
        <v>44877</v>
      </c>
      <c r="D57" s="22">
        <v>5027</v>
      </c>
      <c r="E57" t="e" vm="2">
        <v>#VALUE!</v>
      </c>
    </row>
    <row r="58" spans="1:5" x14ac:dyDescent="0.35">
      <c r="A58" t="s">
        <v>139</v>
      </c>
      <c r="B58" t="s">
        <v>305</v>
      </c>
      <c r="C58" s="24">
        <v>44940</v>
      </c>
      <c r="D58" s="22">
        <v>5438</v>
      </c>
      <c r="E58" t="e" vm="2">
        <v>#VALUE!</v>
      </c>
    </row>
    <row r="59" spans="1:5" x14ac:dyDescent="0.35">
      <c r="A59" t="s">
        <v>140</v>
      </c>
      <c r="B59" t="s">
        <v>361</v>
      </c>
      <c r="C59" s="24">
        <v>44870</v>
      </c>
      <c r="D59" s="22">
        <v>1373</v>
      </c>
      <c r="E59" t="e" vm="6">
        <v>#VALUE!</v>
      </c>
    </row>
    <row r="60" spans="1:5" x14ac:dyDescent="0.35">
      <c r="A60" t="s">
        <v>141</v>
      </c>
      <c r="B60" t="s">
        <v>350</v>
      </c>
      <c r="C60" s="24">
        <v>44956</v>
      </c>
      <c r="D60" s="22">
        <v>12687</v>
      </c>
      <c r="E60" t="e" vm="2">
        <v>#VALUE!</v>
      </c>
    </row>
    <row r="61" spans="1:5" x14ac:dyDescent="0.35">
      <c r="A61" t="s">
        <v>142</v>
      </c>
      <c r="B61" t="s">
        <v>110</v>
      </c>
      <c r="C61" s="24">
        <v>44872</v>
      </c>
      <c r="D61" s="22">
        <v>8356</v>
      </c>
      <c r="E61" t="e" vm="4">
        <v>#VALUE!</v>
      </c>
    </row>
    <row r="62" spans="1:5" x14ac:dyDescent="0.35">
      <c r="A62" t="s">
        <v>143</v>
      </c>
      <c r="B62" t="s">
        <v>110</v>
      </c>
      <c r="C62" s="24">
        <v>44887</v>
      </c>
      <c r="D62" s="22">
        <v>19525</v>
      </c>
      <c r="E62" t="e" vm="6">
        <v>#VALUE!</v>
      </c>
    </row>
    <row r="63" spans="1:5" x14ac:dyDescent="0.35">
      <c r="A63" t="s">
        <v>144</v>
      </c>
      <c r="B63" t="s">
        <v>81</v>
      </c>
      <c r="C63" s="24">
        <v>44950</v>
      </c>
      <c r="D63" s="22">
        <v>6406</v>
      </c>
      <c r="E63" t="e" vm="4">
        <v>#VALUE!</v>
      </c>
    </row>
    <row r="64" spans="1:5" x14ac:dyDescent="0.35">
      <c r="A64" t="s">
        <v>145</v>
      </c>
      <c r="B64" t="s">
        <v>305</v>
      </c>
      <c r="C64" s="24">
        <v>44875</v>
      </c>
      <c r="D64" s="22">
        <v>15977</v>
      </c>
      <c r="E64" t="e" vm="4">
        <v>#VALUE!</v>
      </c>
    </row>
    <row r="65" spans="1:5" x14ac:dyDescent="0.35">
      <c r="A65" t="s">
        <v>146</v>
      </c>
      <c r="B65" t="s">
        <v>425</v>
      </c>
      <c r="C65" s="24">
        <v>44883</v>
      </c>
      <c r="D65" s="22">
        <v>3228</v>
      </c>
      <c r="E65" t="e" vm="2">
        <v>#VALUE!</v>
      </c>
    </row>
    <row r="66" spans="1:5" x14ac:dyDescent="0.35">
      <c r="A66" t="s">
        <v>147</v>
      </c>
      <c r="B66" t="s">
        <v>350</v>
      </c>
      <c r="C66" s="24">
        <v>44869</v>
      </c>
      <c r="D66" s="22">
        <v>11606</v>
      </c>
      <c r="E66" t="e" vm="4">
        <v>#VALUE!</v>
      </c>
    </row>
    <row r="67" spans="1:5" x14ac:dyDescent="0.35">
      <c r="A67" t="s">
        <v>148</v>
      </c>
      <c r="B67" t="s">
        <v>127</v>
      </c>
      <c r="C67" s="24">
        <v>44951</v>
      </c>
      <c r="D67" s="22">
        <v>1421</v>
      </c>
      <c r="E67" t="e" vm="6">
        <v>#VALUE!</v>
      </c>
    </row>
    <row r="68" spans="1:5" x14ac:dyDescent="0.35">
      <c r="A68" t="s">
        <v>149</v>
      </c>
      <c r="B68" t="s">
        <v>305</v>
      </c>
      <c r="C68" s="24">
        <v>44879</v>
      </c>
      <c r="D68" s="22">
        <v>13641</v>
      </c>
      <c r="E68" t="e" vm="2">
        <v>#VALUE!</v>
      </c>
    </row>
    <row r="69" spans="1:5" x14ac:dyDescent="0.35">
      <c r="A69" t="s">
        <v>150</v>
      </c>
      <c r="B69" t="s">
        <v>361</v>
      </c>
      <c r="C69" s="24">
        <v>44891</v>
      </c>
      <c r="D69" s="22">
        <v>4206</v>
      </c>
      <c r="E69" t="e" vm="2">
        <v>#VALUE!</v>
      </c>
    </row>
    <row r="70" spans="1:5" x14ac:dyDescent="0.35">
      <c r="A70" t="s">
        <v>151</v>
      </c>
      <c r="B70" t="s">
        <v>110</v>
      </c>
      <c r="C70" s="24">
        <v>44897</v>
      </c>
      <c r="D70" s="22">
        <v>8916</v>
      </c>
      <c r="E70" t="e" vm="6">
        <v>#VALUE!</v>
      </c>
    </row>
    <row r="71" spans="1:5" x14ac:dyDescent="0.35">
      <c r="A71" t="s">
        <v>152</v>
      </c>
      <c r="B71" t="s">
        <v>110</v>
      </c>
      <c r="C71" s="24">
        <v>44902</v>
      </c>
      <c r="D71" s="22">
        <v>10734</v>
      </c>
      <c r="E71" t="e" vm="2">
        <v>#VALUE!</v>
      </c>
    </row>
    <row r="72" spans="1:5" x14ac:dyDescent="0.35">
      <c r="A72" t="s">
        <v>153</v>
      </c>
      <c r="B72" t="s">
        <v>110</v>
      </c>
      <c r="C72" s="24">
        <v>44934</v>
      </c>
      <c r="D72" s="22">
        <v>6795</v>
      </c>
      <c r="E72" t="e" vm="2">
        <v>#VALUE!</v>
      </c>
    </row>
    <row r="73" spans="1:5" x14ac:dyDescent="0.35">
      <c r="A73" t="s">
        <v>154</v>
      </c>
      <c r="B73" t="s">
        <v>127</v>
      </c>
      <c r="C73" s="24">
        <v>44867</v>
      </c>
      <c r="D73" s="22">
        <v>15614</v>
      </c>
      <c r="E73" t="e" vm="4">
        <v>#VALUE!</v>
      </c>
    </row>
    <row r="74" spans="1:5" x14ac:dyDescent="0.35">
      <c r="A74" t="s">
        <v>155</v>
      </c>
      <c r="B74" t="s">
        <v>305</v>
      </c>
      <c r="C74" s="24">
        <v>44915</v>
      </c>
      <c r="D74" s="22">
        <v>1017</v>
      </c>
      <c r="E74" t="e" vm="4">
        <v>#VALUE!</v>
      </c>
    </row>
    <row r="75" spans="1:5" x14ac:dyDescent="0.35">
      <c r="A75" t="s">
        <v>156</v>
      </c>
      <c r="B75" t="s">
        <v>425</v>
      </c>
      <c r="C75" s="24">
        <v>44909</v>
      </c>
      <c r="D75" s="22">
        <v>17339</v>
      </c>
      <c r="E75" t="e" vm="4">
        <v>#VALUE!</v>
      </c>
    </row>
    <row r="76" spans="1:5" x14ac:dyDescent="0.35">
      <c r="A76" t="s">
        <v>157</v>
      </c>
      <c r="B76" t="s">
        <v>110</v>
      </c>
      <c r="C76" s="24">
        <v>44909</v>
      </c>
      <c r="D76" s="22">
        <v>17939</v>
      </c>
      <c r="E76" t="e" vm="4">
        <v>#VALUE!</v>
      </c>
    </row>
    <row r="77" spans="1:5" x14ac:dyDescent="0.35">
      <c r="A77" t="s">
        <v>158</v>
      </c>
      <c r="B77" t="s">
        <v>127</v>
      </c>
      <c r="C77" s="24">
        <v>44911</v>
      </c>
      <c r="D77" s="22">
        <v>4292</v>
      </c>
      <c r="E77" t="e" vm="2">
        <v>#VALUE!</v>
      </c>
    </row>
    <row r="78" spans="1:5" x14ac:dyDescent="0.35">
      <c r="A78" t="s">
        <v>159</v>
      </c>
      <c r="B78" t="s">
        <v>425</v>
      </c>
      <c r="C78" s="24">
        <v>44875</v>
      </c>
      <c r="D78" s="22">
        <v>8975</v>
      </c>
      <c r="E78" t="e" vm="2">
        <v>#VALUE!</v>
      </c>
    </row>
    <row r="79" spans="1:5" x14ac:dyDescent="0.35">
      <c r="A79" t="s">
        <v>160</v>
      </c>
      <c r="B79" t="s">
        <v>425</v>
      </c>
      <c r="C79" s="24">
        <v>44884</v>
      </c>
      <c r="D79" s="22">
        <v>18397</v>
      </c>
      <c r="E79" t="e" vm="4">
        <v>#VALUE!</v>
      </c>
    </row>
    <row r="80" spans="1:5" x14ac:dyDescent="0.35">
      <c r="A80" t="s">
        <v>161</v>
      </c>
      <c r="B80" t="s">
        <v>127</v>
      </c>
      <c r="C80" s="24">
        <v>44872</v>
      </c>
      <c r="D80" s="22">
        <v>16951</v>
      </c>
      <c r="E80" t="e" vm="6">
        <v>#VALUE!</v>
      </c>
    </row>
    <row r="81" spans="1:5" x14ac:dyDescent="0.35">
      <c r="A81" t="s">
        <v>162</v>
      </c>
      <c r="B81" t="s">
        <v>350</v>
      </c>
      <c r="C81" s="24">
        <v>44944</v>
      </c>
      <c r="D81" s="22">
        <v>9083</v>
      </c>
      <c r="E81" t="e" vm="6">
        <v>#VALUE!</v>
      </c>
    </row>
    <row r="82" spans="1:5" x14ac:dyDescent="0.35">
      <c r="A82" t="s">
        <v>163</v>
      </c>
      <c r="B82" t="s">
        <v>110</v>
      </c>
      <c r="C82" s="24">
        <v>44922</v>
      </c>
      <c r="D82" s="22">
        <v>2891</v>
      </c>
      <c r="E82" t="e" vm="6">
        <v>#VALUE!</v>
      </c>
    </row>
    <row r="83" spans="1:5" x14ac:dyDescent="0.35">
      <c r="A83" t="s">
        <v>164</v>
      </c>
      <c r="B83" t="s">
        <v>81</v>
      </c>
      <c r="C83" s="24">
        <v>44935</v>
      </c>
      <c r="D83" s="22">
        <v>3912</v>
      </c>
      <c r="E83" t="e" vm="4">
        <v>#VALUE!</v>
      </c>
    </row>
    <row r="84" spans="1:5" x14ac:dyDescent="0.35">
      <c r="A84" t="s">
        <v>165</v>
      </c>
      <c r="B84" t="s">
        <v>350</v>
      </c>
      <c r="C84" s="24">
        <v>44866</v>
      </c>
      <c r="D84" s="22">
        <v>16032</v>
      </c>
      <c r="E84" t="e" vm="2">
        <v>#VALUE!</v>
      </c>
    </row>
    <row r="85" spans="1:5" x14ac:dyDescent="0.35">
      <c r="A85" t="s">
        <v>166</v>
      </c>
      <c r="B85" t="s">
        <v>127</v>
      </c>
      <c r="C85" s="24">
        <v>44910</v>
      </c>
      <c r="D85" s="22">
        <v>9773</v>
      </c>
      <c r="E85" t="e" vm="2">
        <v>#VALUE!</v>
      </c>
    </row>
    <row r="86" spans="1:5" x14ac:dyDescent="0.35">
      <c r="A86" t="s">
        <v>167</v>
      </c>
      <c r="B86" t="s">
        <v>361</v>
      </c>
      <c r="C86" s="24">
        <v>44868</v>
      </c>
      <c r="D86" s="22">
        <v>12734</v>
      </c>
      <c r="E86" t="e" vm="4">
        <v>#VALUE!</v>
      </c>
    </row>
    <row r="87" spans="1:5" x14ac:dyDescent="0.35">
      <c r="A87" t="s">
        <v>168</v>
      </c>
      <c r="B87" t="s">
        <v>425</v>
      </c>
      <c r="C87" s="24">
        <v>44931</v>
      </c>
      <c r="D87" s="22">
        <v>5561</v>
      </c>
      <c r="E87" t="e" vm="2">
        <v>#VALUE!</v>
      </c>
    </row>
    <row r="88" spans="1:5" x14ac:dyDescent="0.35">
      <c r="A88" t="s">
        <v>169</v>
      </c>
      <c r="B88" t="s">
        <v>305</v>
      </c>
      <c r="C88" s="24">
        <v>44945</v>
      </c>
      <c r="D88" s="22">
        <v>3590</v>
      </c>
      <c r="E88" t="e" vm="6">
        <v>#VALUE!</v>
      </c>
    </row>
    <row r="89" spans="1:5" x14ac:dyDescent="0.35">
      <c r="A89" t="s">
        <v>170</v>
      </c>
      <c r="B89" t="s">
        <v>305</v>
      </c>
      <c r="C89" s="24">
        <v>44925</v>
      </c>
      <c r="D89" s="22">
        <v>13155</v>
      </c>
      <c r="E89" t="e" vm="4">
        <v>#VALUE!</v>
      </c>
    </row>
    <row r="90" spans="1:5" x14ac:dyDescent="0.35">
      <c r="A90" t="s">
        <v>171</v>
      </c>
      <c r="B90" t="s">
        <v>110</v>
      </c>
      <c r="C90" s="24">
        <v>44917</v>
      </c>
      <c r="D90" s="22">
        <v>18016</v>
      </c>
      <c r="E90" t="e" vm="4">
        <v>#VALUE!</v>
      </c>
    </row>
    <row r="91" spans="1:5" x14ac:dyDescent="0.35">
      <c r="A91" t="s">
        <v>172</v>
      </c>
      <c r="B91" t="s">
        <v>350</v>
      </c>
      <c r="C91" s="24">
        <v>44903</v>
      </c>
      <c r="D91" s="22">
        <v>19192</v>
      </c>
      <c r="E91" t="e" vm="2">
        <v>#VALUE!</v>
      </c>
    </row>
    <row r="92" spans="1:5" x14ac:dyDescent="0.35">
      <c r="A92" t="s">
        <v>173</v>
      </c>
      <c r="B92" t="s">
        <v>425</v>
      </c>
      <c r="C92" s="24">
        <v>44868</v>
      </c>
      <c r="D92" s="22">
        <v>16909</v>
      </c>
      <c r="E92" t="e" vm="2">
        <v>#VALUE!</v>
      </c>
    </row>
    <row r="93" spans="1:5" x14ac:dyDescent="0.35">
      <c r="A93" t="s">
        <v>174</v>
      </c>
      <c r="B93" t="s">
        <v>361</v>
      </c>
      <c r="C93" s="24">
        <v>44932</v>
      </c>
      <c r="D93" s="22">
        <v>14028</v>
      </c>
      <c r="E93" t="e" vm="6">
        <v>#VALUE!</v>
      </c>
    </row>
    <row r="94" spans="1:5" x14ac:dyDescent="0.35">
      <c r="A94" t="s">
        <v>175</v>
      </c>
      <c r="B94" t="s">
        <v>361</v>
      </c>
      <c r="C94" s="24">
        <v>44909</v>
      </c>
      <c r="D94" s="22">
        <v>6054</v>
      </c>
      <c r="E94" t="e" vm="6">
        <v>#VALUE!</v>
      </c>
    </row>
    <row r="95" spans="1:5" x14ac:dyDescent="0.35">
      <c r="A95" t="s">
        <v>176</v>
      </c>
      <c r="B95" t="s">
        <v>361</v>
      </c>
      <c r="C95" s="24">
        <v>44951</v>
      </c>
      <c r="D95" s="22">
        <v>15417</v>
      </c>
      <c r="E95" t="e" vm="4">
        <v>#VALUE!</v>
      </c>
    </row>
    <row r="96" spans="1:5" x14ac:dyDescent="0.35">
      <c r="A96" t="s">
        <v>177</v>
      </c>
      <c r="B96" t="s">
        <v>361</v>
      </c>
      <c r="C96" s="24">
        <v>44877</v>
      </c>
      <c r="D96" s="22">
        <v>5773</v>
      </c>
      <c r="E96" t="e" vm="4">
        <v>#VALUE!</v>
      </c>
    </row>
    <row r="97" spans="1:5" x14ac:dyDescent="0.35">
      <c r="A97" t="s">
        <v>178</v>
      </c>
      <c r="B97" t="s">
        <v>361</v>
      </c>
      <c r="C97" s="24">
        <v>44930</v>
      </c>
      <c r="D97" s="22">
        <v>6192</v>
      </c>
      <c r="E97" t="e" vm="2">
        <v>#VALUE!</v>
      </c>
    </row>
    <row r="98" spans="1:5" x14ac:dyDescent="0.35">
      <c r="A98" t="s">
        <v>179</v>
      </c>
      <c r="B98" t="s">
        <v>81</v>
      </c>
      <c r="C98" s="24">
        <v>44927</v>
      </c>
      <c r="D98" s="22">
        <v>10880</v>
      </c>
      <c r="E98" t="e" vm="4">
        <v>#VALUE!</v>
      </c>
    </row>
    <row r="99" spans="1:5" x14ac:dyDescent="0.35">
      <c r="A99" t="s">
        <v>180</v>
      </c>
      <c r="B99" t="s">
        <v>361</v>
      </c>
      <c r="C99" s="24">
        <v>44932</v>
      </c>
      <c r="D99" s="22">
        <v>15466</v>
      </c>
      <c r="E99" t="e" vm="2">
        <v>#VALUE!</v>
      </c>
    </row>
    <row r="100" spans="1:5" x14ac:dyDescent="0.35">
      <c r="A100" t="s">
        <v>181</v>
      </c>
      <c r="B100" t="s">
        <v>305</v>
      </c>
      <c r="C100" s="24">
        <v>44913</v>
      </c>
      <c r="D100" s="22">
        <v>11611</v>
      </c>
      <c r="E100" t="e" vm="4">
        <v>#VALUE!</v>
      </c>
    </row>
    <row r="101" spans="1:5" x14ac:dyDescent="0.35">
      <c r="A101" t="s">
        <v>182</v>
      </c>
      <c r="B101" t="s">
        <v>425</v>
      </c>
      <c r="C101" s="24">
        <v>44942</v>
      </c>
      <c r="D101" s="22">
        <v>3372</v>
      </c>
      <c r="E101" t="e" vm="2">
        <v>#VALUE!</v>
      </c>
    </row>
    <row r="102" spans="1:5" x14ac:dyDescent="0.35">
      <c r="A102" t="s">
        <v>183</v>
      </c>
      <c r="B102" t="s">
        <v>127</v>
      </c>
      <c r="C102" s="24">
        <v>44907</v>
      </c>
      <c r="D102" s="22">
        <v>15712</v>
      </c>
      <c r="E102" t="e" vm="4">
        <v>#VALUE!</v>
      </c>
    </row>
    <row r="103" spans="1:5" x14ac:dyDescent="0.35">
      <c r="A103" t="s">
        <v>184</v>
      </c>
      <c r="B103" t="s">
        <v>361</v>
      </c>
      <c r="C103" s="24">
        <v>44896</v>
      </c>
      <c r="D103" s="22">
        <v>17454</v>
      </c>
      <c r="E103" t="e" vm="6">
        <v>#VALUE!</v>
      </c>
    </row>
    <row r="104" spans="1:5" x14ac:dyDescent="0.35">
      <c r="A104" t="s">
        <v>185</v>
      </c>
      <c r="B104" t="s">
        <v>110</v>
      </c>
      <c r="C104" s="24">
        <v>44942</v>
      </c>
      <c r="D104" s="22">
        <v>13980</v>
      </c>
      <c r="E104" t="e" vm="6">
        <v>#VALUE!</v>
      </c>
    </row>
    <row r="105" spans="1:5" x14ac:dyDescent="0.35">
      <c r="A105" t="s">
        <v>186</v>
      </c>
      <c r="B105" t="s">
        <v>110</v>
      </c>
      <c r="C105" s="24">
        <v>44930</v>
      </c>
      <c r="D105" s="22">
        <v>5588</v>
      </c>
      <c r="E105" t="e" vm="2">
        <v>#VALUE!</v>
      </c>
    </row>
    <row r="106" spans="1:5" x14ac:dyDescent="0.35">
      <c r="A106" t="s">
        <v>187</v>
      </c>
      <c r="B106" t="s">
        <v>361</v>
      </c>
      <c r="C106" s="24">
        <v>44899</v>
      </c>
      <c r="D106" s="22">
        <v>12010</v>
      </c>
      <c r="E106" t="e" vm="4">
        <v>#VALUE!</v>
      </c>
    </row>
    <row r="107" spans="1:5" x14ac:dyDescent="0.35">
      <c r="A107" t="s">
        <v>188</v>
      </c>
      <c r="B107" t="s">
        <v>305</v>
      </c>
      <c r="C107" s="24">
        <v>44934</v>
      </c>
      <c r="D107" s="22">
        <v>14619</v>
      </c>
      <c r="E107" t="e" vm="6">
        <v>#VALUE!</v>
      </c>
    </row>
    <row r="108" spans="1:5" x14ac:dyDescent="0.35">
      <c r="A108" t="s">
        <v>189</v>
      </c>
      <c r="B108" t="s">
        <v>305</v>
      </c>
      <c r="C108" s="24">
        <v>44919</v>
      </c>
      <c r="D108" s="22">
        <v>2531</v>
      </c>
      <c r="E108" t="e" vm="2">
        <v>#VALUE!</v>
      </c>
    </row>
    <row r="109" spans="1:5" x14ac:dyDescent="0.35">
      <c r="A109" t="s">
        <v>190</v>
      </c>
      <c r="B109" t="s">
        <v>81</v>
      </c>
      <c r="C109" s="24">
        <v>44910</v>
      </c>
      <c r="D109" s="22">
        <v>7682</v>
      </c>
      <c r="E109" t="e" vm="6">
        <v>#VALUE!</v>
      </c>
    </row>
    <row r="110" spans="1:5" x14ac:dyDescent="0.35">
      <c r="A110" t="s">
        <v>191</v>
      </c>
      <c r="B110" t="s">
        <v>361</v>
      </c>
      <c r="C110" s="24">
        <v>44956</v>
      </c>
      <c r="D110" s="22">
        <v>15925</v>
      </c>
      <c r="E110" t="e" vm="6">
        <v>#VALUE!</v>
      </c>
    </row>
    <row r="111" spans="1:5" x14ac:dyDescent="0.35">
      <c r="A111" t="s">
        <v>192</v>
      </c>
      <c r="B111" t="s">
        <v>110</v>
      </c>
      <c r="C111" s="24">
        <v>44910</v>
      </c>
      <c r="D111" s="22">
        <v>3501</v>
      </c>
      <c r="E111" t="e" vm="4">
        <v>#VALUE!</v>
      </c>
    </row>
    <row r="112" spans="1:5" x14ac:dyDescent="0.35">
      <c r="A112" t="s">
        <v>193</v>
      </c>
      <c r="B112" t="s">
        <v>361</v>
      </c>
      <c r="C112" s="24">
        <v>44937</v>
      </c>
      <c r="D112" s="22">
        <v>7700</v>
      </c>
      <c r="E112" t="e" vm="6">
        <v>#VALUE!</v>
      </c>
    </row>
    <row r="113" spans="1:5" x14ac:dyDescent="0.35">
      <c r="A113" t="s">
        <v>194</v>
      </c>
      <c r="B113" t="s">
        <v>350</v>
      </c>
      <c r="C113" s="24">
        <v>44882</v>
      </c>
      <c r="D113" s="22">
        <v>12379</v>
      </c>
      <c r="E113" t="e" vm="4">
        <v>#VALUE!</v>
      </c>
    </row>
    <row r="114" spans="1:5" x14ac:dyDescent="0.35">
      <c r="A114" t="s">
        <v>195</v>
      </c>
      <c r="B114" t="s">
        <v>361</v>
      </c>
      <c r="C114" s="24">
        <v>44918</v>
      </c>
      <c r="D114" s="22">
        <v>8039</v>
      </c>
      <c r="E114" t="e" vm="6">
        <v>#VALUE!</v>
      </c>
    </row>
    <row r="115" spans="1:5" x14ac:dyDescent="0.35">
      <c r="A115" t="s">
        <v>196</v>
      </c>
      <c r="B115" t="s">
        <v>361</v>
      </c>
      <c r="C115" s="24">
        <v>44896</v>
      </c>
      <c r="D115" s="22">
        <v>9212</v>
      </c>
      <c r="E115" t="e" vm="2">
        <v>#VALUE!</v>
      </c>
    </row>
    <row r="116" spans="1:5" x14ac:dyDescent="0.35">
      <c r="A116" t="s">
        <v>197</v>
      </c>
      <c r="B116" t="s">
        <v>110</v>
      </c>
      <c r="C116" s="24">
        <v>44937</v>
      </c>
      <c r="D116" s="22">
        <v>8677</v>
      </c>
      <c r="E116" t="e" vm="2">
        <v>#VALUE!</v>
      </c>
    </row>
    <row r="117" spans="1:5" x14ac:dyDescent="0.35">
      <c r="A117" t="s">
        <v>198</v>
      </c>
      <c r="B117" t="s">
        <v>305</v>
      </c>
      <c r="C117" s="24">
        <v>44950</v>
      </c>
      <c r="D117" s="22">
        <v>6957</v>
      </c>
      <c r="E117" t="e" vm="2">
        <v>#VALUE!</v>
      </c>
    </row>
    <row r="118" spans="1:5" x14ac:dyDescent="0.35">
      <c r="A118" t="s">
        <v>199</v>
      </c>
      <c r="B118" t="s">
        <v>127</v>
      </c>
      <c r="C118" s="24">
        <v>44935</v>
      </c>
      <c r="D118" s="22">
        <v>2693</v>
      </c>
      <c r="E118" t="e" vm="2">
        <v>#VALUE!</v>
      </c>
    </row>
    <row r="119" spans="1:5" x14ac:dyDescent="0.35">
      <c r="A119" t="s">
        <v>200</v>
      </c>
      <c r="B119" t="s">
        <v>127</v>
      </c>
      <c r="C119" s="24">
        <v>44935</v>
      </c>
      <c r="D119" s="22">
        <v>7190</v>
      </c>
      <c r="E119" t="e" vm="2">
        <v>#VALUE!</v>
      </c>
    </row>
    <row r="120" spans="1:5" x14ac:dyDescent="0.35">
      <c r="A120" t="s">
        <v>201</v>
      </c>
      <c r="B120" t="s">
        <v>127</v>
      </c>
      <c r="C120" s="24">
        <v>44894</v>
      </c>
      <c r="D120" s="22">
        <v>1702</v>
      </c>
      <c r="E120" t="e" vm="6">
        <v>#VALUE!</v>
      </c>
    </row>
    <row r="121" spans="1:5" x14ac:dyDescent="0.35">
      <c r="A121" t="s">
        <v>202</v>
      </c>
      <c r="B121" t="s">
        <v>361</v>
      </c>
      <c r="C121" s="24">
        <v>44910</v>
      </c>
      <c r="D121" s="22">
        <v>15953</v>
      </c>
      <c r="E121" t="e" vm="4">
        <v>#VALUE!</v>
      </c>
    </row>
    <row r="122" spans="1:5" x14ac:dyDescent="0.35">
      <c r="A122" t="s">
        <v>203</v>
      </c>
      <c r="B122" t="s">
        <v>305</v>
      </c>
      <c r="C122" s="24">
        <v>44866</v>
      </c>
      <c r="D122" s="22">
        <v>12799</v>
      </c>
      <c r="E122" t="e" vm="2">
        <v>#VALUE!</v>
      </c>
    </row>
    <row r="123" spans="1:5" x14ac:dyDescent="0.35">
      <c r="A123" t="s">
        <v>204</v>
      </c>
      <c r="B123" t="s">
        <v>127</v>
      </c>
      <c r="C123" s="24">
        <v>44947</v>
      </c>
      <c r="D123" s="22">
        <v>5882</v>
      </c>
      <c r="E123" t="e" vm="6">
        <v>#VALUE!</v>
      </c>
    </row>
    <row r="124" spans="1:5" x14ac:dyDescent="0.35">
      <c r="A124" t="s">
        <v>205</v>
      </c>
      <c r="B124" t="s">
        <v>127</v>
      </c>
      <c r="C124" s="24">
        <v>44883</v>
      </c>
      <c r="D124" s="22">
        <v>3489</v>
      </c>
      <c r="E124" t="e" vm="6">
        <v>#VALUE!</v>
      </c>
    </row>
    <row r="125" spans="1:5" x14ac:dyDescent="0.35">
      <c r="A125" t="s">
        <v>206</v>
      </c>
      <c r="B125" t="s">
        <v>81</v>
      </c>
      <c r="C125" s="24">
        <v>44910</v>
      </c>
      <c r="D125" s="22">
        <v>1960</v>
      </c>
      <c r="E125" t="e" vm="6">
        <v>#VALUE!</v>
      </c>
    </row>
    <row r="126" spans="1:5" x14ac:dyDescent="0.35">
      <c r="A126" t="s">
        <v>207</v>
      </c>
      <c r="B126" t="s">
        <v>127</v>
      </c>
      <c r="C126" s="24">
        <v>44949</v>
      </c>
      <c r="D126" s="22">
        <v>16978</v>
      </c>
      <c r="E126" t="e" vm="2">
        <v>#VALUE!</v>
      </c>
    </row>
    <row r="127" spans="1:5" x14ac:dyDescent="0.35">
      <c r="A127" t="s">
        <v>208</v>
      </c>
      <c r="B127" t="s">
        <v>361</v>
      </c>
      <c r="C127" s="24">
        <v>44954</v>
      </c>
      <c r="D127" s="22">
        <v>15840</v>
      </c>
      <c r="E127" t="e" vm="6">
        <v>#VALUE!</v>
      </c>
    </row>
    <row r="128" spans="1:5" x14ac:dyDescent="0.35">
      <c r="A128" t="s">
        <v>209</v>
      </c>
      <c r="B128" t="s">
        <v>81</v>
      </c>
      <c r="C128" s="24">
        <v>44870</v>
      </c>
      <c r="D128" s="22">
        <v>11007</v>
      </c>
      <c r="E128" t="e" vm="6">
        <v>#VALUE!</v>
      </c>
    </row>
    <row r="129" spans="1:5" x14ac:dyDescent="0.35">
      <c r="A129" t="s">
        <v>210</v>
      </c>
      <c r="B129" t="s">
        <v>81</v>
      </c>
      <c r="C129" s="24">
        <v>44900</v>
      </c>
      <c r="D129" s="22">
        <v>2762</v>
      </c>
      <c r="E129" t="e" vm="6">
        <v>#VALUE!</v>
      </c>
    </row>
    <row r="130" spans="1:5" x14ac:dyDescent="0.35">
      <c r="A130" t="s">
        <v>211</v>
      </c>
      <c r="B130" t="s">
        <v>110</v>
      </c>
      <c r="C130" s="24">
        <v>44952</v>
      </c>
      <c r="D130" s="22">
        <v>6494</v>
      </c>
      <c r="E130" t="e" vm="6">
        <v>#VALUE!</v>
      </c>
    </row>
    <row r="131" spans="1:5" x14ac:dyDescent="0.35">
      <c r="A131" t="s">
        <v>212</v>
      </c>
      <c r="B131" t="s">
        <v>110</v>
      </c>
      <c r="C131" s="24">
        <v>44874</v>
      </c>
      <c r="D131" s="22">
        <v>14042</v>
      </c>
      <c r="E131" t="e" vm="4">
        <v>#VALUE!</v>
      </c>
    </row>
    <row r="132" spans="1:5" x14ac:dyDescent="0.35">
      <c r="A132" t="s">
        <v>213</v>
      </c>
      <c r="B132" t="s">
        <v>361</v>
      </c>
      <c r="C132" s="24">
        <v>44883</v>
      </c>
      <c r="D132" s="22">
        <v>18066</v>
      </c>
      <c r="E132" t="e" vm="4">
        <v>#VALUE!</v>
      </c>
    </row>
    <row r="133" spans="1:5" x14ac:dyDescent="0.35">
      <c r="A133" t="s">
        <v>214</v>
      </c>
      <c r="B133" t="s">
        <v>127</v>
      </c>
      <c r="C133" s="24">
        <v>44884</v>
      </c>
      <c r="D133" s="22">
        <v>18119</v>
      </c>
      <c r="E133" t="e" vm="6">
        <v>#VALUE!</v>
      </c>
    </row>
    <row r="134" spans="1:5" x14ac:dyDescent="0.35">
      <c r="A134" t="s">
        <v>215</v>
      </c>
      <c r="B134" t="s">
        <v>361</v>
      </c>
      <c r="C134" s="24">
        <v>44902</v>
      </c>
      <c r="D134" s="22">
        <v>16003</v>
      </c>
      <c r="E134" t="e" vm="2">
        <v>#VALUE!</v>
      </c>
    </row>
    <row r="135" spans="1:5" x14ac:dyDescent="0.35">
      <c r="A135" t="s">
        <v>216</v>
      </c>
      <c r="B135" t="s">
        <v>350</v>
      </c>
      <c r="C135" s="24">
        <v>44891</v>
      </c>
      <c r="D135" s="22">
        <v>17271</v>
      </c>
      <c r="E135" t="e" vm="2">
        <v>#VALUE!</v>
      </c>
    </row>
    <row r="136" spans="1:5" x14ac:dyDescent="0.35">
      <c r="A136" t="s">
        <v>217</v>
      </c>
      <c r="B136" t="s">
        <v>305</v>
      </c>
      <c r="C136" s="24">
        <v>44940</v>
      </c>
      <c r="D136" s="22">
        <v>15404</v>
      </c>
      <c r="E136" t="e" vm="4">
        <v>#VALUE!</v>
      </c>
    </row>
    <row r="137" spans="1:5" x14ac:dyDescent="0.35">
      <c r="A137" t="s">
        <v>218</v>
      </c>
      <c r="B137" t="s">
        <v>81</v>
      </c>
      <c r="C137" s="24">
        <v>44912</v>
      </c>
      <c r="D137" s="22">
        <v>9199</v>
      </c>
      <c r="E137" t="e" vm="4">
        <v>#VALUE!</v>
      </c>
    </row>
    <row r="138" spans="1:5" x14ac:dyDescent="0.35">
      <c r="A138" t="s">
        <v>219</v>
      </c>
      <c r="B138" t="s">
        <v>350</v>
      </c>
      <c r="C138" s="24">
        <v>44917</v>
      </c>
      <c r="D138" s="22">
        <v>9376</v>
      </c>
      <c r="E138" t="e" vm="2">
        <v>#VALUE!</v>
      </c>
    </row>
    <row r="139" spans="1:5" x14ac:dyDescent="0.35">
      <c r="A139" t="s">
        <v>220</v>
      </c>
      <c r="B139" t="s">
        <v>81</v>
      </c>
      <c r="C139" s="24">
        <v>44933</v>
      </c>
      <c r="D139" s="22">
        <v>2011</v>
      </c>
      <c r="E139" t="e" vm="2">
        <v>#VALUE!</v>
      </c>
    </row>
    <row r="140" spans="1:5" x14ac:dyDescent="0.35">
      <c r="A140" t="s">
        <v>221</v>
      </c>
      <c r="B140" t="s">
        <v>127</v>
      </c>
      <c r="C140" s="24">
        <v>44937</v>
      </c>
      <c r="D140" s="22">
        <v>6430</v>
      </c>
      <c r="E140" t="e" vm="4">
        <v>#VALUE!</v>
      </c>
    </row>
    <row r="141" spans="1:5" x14ac:dyDescent="0.35">
      <c r="A141" t="s">
        <v>222</v>
      </c>
      <c r="B141" t="s">
        <v>350</v>
      </c>
      <c r="C141" s="24">
        <v>44897</v>
      </c>
      <c r="D141" s="22">
        <v>9668</v>
      </c>
      <c r="E141" t="e" vm="2">
        <v>#VALUE!</v>
      </c>
    </row>
    <row r="142" spans="1:5" x14ac:dyDescent="0.35">
      <c r="A142" t="s">
        <v>223</v>
      </c>
      <c r="B142" t="s">
        <v>425</v>
      </c>
      <c r="C142" s="24">
        <v>44934</v>
      </c>
      <c r="D142" s="22">
        <v>19784</v>
      </c>
      <c r="E142" t="e" vm="2">
        <v>#VALUE!</v>
      </c>
    </row>
    <row r="143" spans="1:5" x14ac:dyDescent="0.35">
      <c r="A143" t="s">
        <v>224</v>
      </c>
      <c r="B143" t="s">
        <v>305</v>
      </c>
      <c r="C143" s="24">
        <v>44923</v>
      </c>
      <c r="D143" s="22">
        <v>12702</v>
      </c>
      <c r="E143" t="e" vm="2">
        <v>#VALUE!</v>
      </c>
    </row>
    <row r="144" spans="1:5" x14ac:dyDescent="0.35">
      <c r="A144" t="s">
        <v>225</v>
      </c>
      <c r="B144" t="s">
        <v>425</v>
      </c>
      <c r="C144" s="24">
        <v>44897</v>
      </c>
      <c r="D144" s="22">
        <v>18181</v>
      </c>
      <c r="E144" t="e" vm="6">
        <v>#VALUE!</v>
      </c>
    </row>
    <row r="145" spans="1:5" x14ac:dyDescent="0.35">
      <c r="A145" t="s">
        <v>226</v>
      </c>
      <c r="B145" t="s">
        <v>305</v>
      </c>
      <c r="C145" s="24">
        <v>44920</v>
      </c>
      <c r="D145" s="22">
        <v>6358</v>
      </c>
      <c r="E145" t="e" vm="4">
        <v>#VALUE!</v>
      </c>
    </row>
    <row r="146" spans="1:5" x14ac:dyDescent="0.35">
      <c r="A146" t="s">
        <v>227</v>
      </c>
      <c r="B146" t="s">
        <v>305</v>
      </c>
      <c r="C146" s="24">
        <v>44894</v>
      </c>
      <c r="D146" s="22">
        <v>1435</v>
      </c>
      <c r="E146" t="e" vm="4">
        <v>#VALUE!</v>
      </c>
    </row>
    <row r="147" spans="1:5" x14ac:dyDescent="0.35">
      <c r="A147" t="s">
        <v>228</v>
      </c>
      <c r="B147" t="s">
        <v>350</v>
      </c>
      <c r="C147" s="24">
        <v>44957</v>
      </c>
      <c r="D147" s="22">
        <v>18049</v>
      </c>
      <c r="E147" t="e" vm="6">
        <v>#VALUE!</v>
      </c>
    </row>
    <row r="148" spans="1:5" x14ac:dyDescent="0.35">
      <c r="A148" t="s">
        <v>229</v>
      </c>
      <c r="B148" t="s">
        <v>81</v>
      </c>
      <c r="C148" s="24">
        <v>44946</v>
      </c>
      <c r="D148" s="22">
        <v>4655</v>
      </c>
      <c r="E148" t="e" vm="2">
        <v>#VALUE!</v>
      </c>
    </row>
    <row r="149" spans="1:5" x14ac:dyDescent="0.35">
      <c r="A149" t="s">
        <v>230</v>
      </c>
      <c r="B149" t="s">
        <v>110</v>
      </c>
      <c r="C149" s="24">
        <v>44882</v>
      </c>
      <c r="D149" s="22">
        <v>7602</v>
      </c>
      <c r="E149" t="e" vm="2">
        <v>#VALUE!</v>
      </c>
    </row>
    <row r="150" spans="1:5" x14ac:dyDescent="0.35">
      <c r="A150" t="s">
        <v>231</v>
      </c>
      <c r="B150" t="s">
        <v>127</v>
      </c>
      <c r="C150" s="24">
        <v>44919</v>
      </c>
      <c r="D150" s="22">
        <v>9954</v>
      </c>
      <c r="E150" t="e" vm="6">
        <v>#VALUE!</v>
      </c>
    </row>
    <row r="151" spans="1:5" x14ac:dyDescent="0.35">
      <c r="A151" t="s">
        <v>232</v>
      </c>
      <c r="B151" t="s">
        <v>110</v>
      </c>
      <c r="C151" s="24">
        <v>44915</v>
      </c>
      <c r="D151" s="22">
        <v>10603</v>
      </c>
      <c r="E151" t="e" vm="2">
        <v>#VALUE!</v>
      </c>
    </row>
    <row r="152" spans="1:5" x14ac:dyDescent="0.35">
      <c r="A152" t="s">
        <v>233</v>
      </c>
      <c r="B152" t="s">
        <v>81</v>
      </c>
      <c r="C152" s="24">
        <v>44911</v>
      </c>
      <c r="D152" s="22">
        <v>19285</v>
      </c>
      <c r="E152" t="e" vm="6">
        <v>#VALUE!</v>
      </c>
    </row>
    <row r="153" spans="1:5" x14ac:dyDescent="0.35">
      <c r="A153" t="s">
        <v>234</v>
      </c>
      <c r="B153" t="s">
        <v>81</v>
      </c>
      <c r="C153" s="24">
        <v>44910</v>
      </c>
      <c r="D153" s="22">
        <v>14076</v>
      </c>
      <c r="E153" t="e" vm="6">
        <v>#VALUE!</v>
      </c>
    </row>
    <row r="154" spans="1:5" x14ac:dyDescent="0.35">
      <c r="A154" t="s">
        <v>235</v>
      </c>
      <c r="B154" t="s">
        <v>425</v>
      </c>
      <c r="C154" s="24">
        <v>44942</v>
      </c>
      <c r="D154" s="22">
        <v>17706</v>
      </c>
      <c r="E154" t="e" vm="6">
        <v>#VALUE!</v>
      </c>
    </row>
    <row r="155" spans="1:5" x14ac:dyDescent="0.35">
      <c r="A155" t="s">
        <v>236</v>
      </c>
      <c r="B155" t="s">
        <v>350</v>
      </c>
      <c r="C155" s="24">
        <v>44944</v>
      </c>
      <c r="D155" s="22">
        <v>11536</v>
      </c>
      <c r="E155" t="e" vm="4">
        <v>#VALUE!</v>
      </c>
    </row>
    <row r="156" spans="1:5" x14ac:dyDescent="0.35">
      <c r="A156" t="s">
        <v>237</v>
      </c>
      <c r="B156" t="s">
        <v>305</v>
      </c>
      <c r="C156" s="24">
        <v>44934</v>
      </c>
      <c r="D156" s="22">
        <v>19065</v>
      </c>
      <c r="E156" t="e" vm="4">
        <v>#VALUE!</v>
      </c>
    </row>
    <row r="157" spans="1:5" x14ac:dyDescent="0.35">
      <c r="A157" t="s">
        <v>238</v>
      </c>
      <c r="B157" t="s">
        <v>425</v>
      </c>
      <c r="C157" s="24">
        <v>44884</v>
      </c>
      <c r="D157" s="22">
        <v>5380</v>
      </c>
      <c r="E157" t="e" vm="6">
        <v>#VALUE!</v>
      </c>
    </row>
    <row r="158" spans="1:5" x14ac:dyDescent="0.35">
      <c r="A158" t="s">
        <v>239</v>
      </c>
      <c r="B158" t="s">
        <v>127</v>
      </c>
      <c r="C158" s="24">
        <v>44910</v>
      </c>
      <c r="D158" s="22">
        <v>17258</v>
      </c>
      <c r="E158" t="e" vm="6">
        <v>#VALUE!</v>
      </c>
    </row>
    <row r="159" spans="1:5" x14ac:dyDescent="0.35">
      <c r="A159" t="s">
        <v>240</v>
      </c>
      <c r="B159" t="s">
        <v>81</v>
      </c>
      <c r="C159" s="24">
        <v>44881</v>
      </c>
      <c r="D159" s="22">
        <v>14970</v>
      </c>
      <c r="E159" t="e" vm="4">
        <v>#VALUE!</v>
      </c>
    </row>
    <row r="160" spans="1:5" x14ac:dyDescent="0.35">
      <c r="A160" t="s">
        <v>241</v>
      </c>
      <c r="B160" t="s">
        <v>110</v>
      </c>
      <c r="C160" s="24">
        <v>44895</v>
      </c>
      <c r="D160" s="22">
        <v>8651</v>
      </c>
      <c r="E160" t="e" vm="6">
        <v>#VALUE!</v>
      </c>
    </row>
    <row r="161" spans="1:5" x14ac:dyDescent="0.35">
      <c r="A161" t="s">
        <v>242</v>
      </c>
      <c r="B161" t="s">
        <v>350</v>
      </c>
      <c r="C161" s="24">
        <v>44897</v>
      </c>
      <c r="D161" s="22">
        <v>6563</v>
      </c>
      <c r="E161" t="e" vm="6">
        <v>#VALUE!</v>
      </c>
    </row>
    <row r="162" spans="1:5" x14ac:dyDescent="0.35">
      <c r="A162" t="s">
        <v>243</v>
      </c>
      <c r="B162" t="s">
        <v>350</v>
      </c>
      <c r="C162" s="24">
        <v>44918</v>
      </c>
      <c r="D162" s="22">
        <v>16901</v>
      </c>
      <c r="E162" t="e" vm="6">
        <v>#VALUE!</v>
      </c>
    </row>
    <row r="163" spans="1:5" x14ac:dyDescent="0.35">
      <c r="A163" t="s">
        <v>244</v>
      </c>
      <c r="B163" t="s">
        <v>361</v>
      </c>
      <c r="C163" s="24">
        <v>44894</v>
      </c>
      <c r="D163" s="22">
        <v>6140</v>
      </c>
      <c r="E163" t="e" vm="6">
        <v>#VALUE!</v>
      </c>
    </row>
    <row r="164" spans="1:5" x14ac:dyDescent="0.35">
      <c r="A164" t="s">
        <v>245</v>
      </c>
      <c r="B164" t="s">
        <v>81</v>
      </c>
      <c r="C164" s="24">
        <v>44951</v>
      </c>
      <c r="D164" s="22">
        <v>1669</v>
      </c>
      <c r="E164" t="e" vm="2">
        <v>#VALUE!</v>
      </c>
    </row>
    <row r="165" spans="1:5" x14ac:dyDescent="0.35">
      <c r="A165" t="s">
        <v>246</v>
      </c>
      <c r="B165" t="s">
        <v>350</v>
      </c>
      <c r="C165" s="24">
        <v>44909</v>
      </c>
      <c r="D165" s="22">
        <v>11694</v>
      </c>
      <c r="E165" t="e" vm="4">
        <v>#VALUE!</v>
      </c>
    </row>
    <row r="166" spans="1:5" x14ac:dyDescent="0.35">
      <c r="A166" t="s">
        <v>247</v>
      </c>
      <c r="B166" t="s">
        <v>81</v>
      </c>
      <c r="C166" s="24">
        <v>44944</v>
      </c>
      <c r="D166" s="22">
        <v>5857</v>
      </c>
      <c r="E166" t="e" vm="6">
        <v>#VALUE!</v>
      </c>
    </row>
    <row r="167" spans="1:5" x14ac:dyDescent="0.35">
      <c r="A167" t="s">
        <v>248</v>
      </c>
      <c r="B167" t="s">
        <v>361</v>
      </c>
      <c r="C167" s="24">
        <v>44891</v>
      </c>
      <c r="D167" s="22">
        <v>10819</v>
      </c>
      <c r="E167" t="e" vm="2">
        <v>#VALUE!</v>
      </c>
    </row>
    <row r="168" spans="1:5" x14ac:dyDescent="0.35">
      <c r="A168" t="s">
        <v>249</v>
      </c>
      <c r="B168" t="s">
        <v>361</v>
      </c>
      <c r="C168" s="24">
        <v>44934</v>
      </c>
      <c r="D168" s="22">
        <v>4208</v>
      </c>
      <c r="E168" t="e" vm="4">
        <v>#VALUE!</v>
      </c>
    </row>
    <row r="169" spans="1:5" x14ac:dyDescent="0.35">
      <c r="A169" t="s">
        <v>250</v>
      </c>
      <c r="B169" t="s">
        <v>425</v>
      </c>
      <c r="C169" s="24">
        <v>44950</v>
      </c>
      <c r="D169" s="22">
        <v>12242</v>
      </c>
      <c r="E169" t="e" vm="6">
        <v>#VALUE!</v>
      </c>
    </row>
    <row r="170" spans="1:5" x14ac:dyDescent="0.35">
      <c r="A170" t="s">
        <v>251</v>
      </c>
      <c r="B170" t="s">
        <v>350</v>
      </c>
      <c r="C170" s="24">
        <v>44931</v>
      </c>
      <c r="D170" s="22">
        <v>13345</v>
      </c>
      <c r="E170" t="e" vm="6">
        <v>#VALUE!</v>
      </c>
    </row>
    <row r="171" spans="1:5" x14ac:dyDescent="0.35">
      <c r="A171" t="s">
        <v>252</v>
      </c>
      <c r="B171" t="s">
        <v>350</v>
      </c>
      <c r="C171" s="24">
        <v>44892</v>
      </c>
      <c r="D171" s="22">
        <v>4947</v>
      </c>
      <c r="E171" t="e" vm="2">
        <v>#VALUE!</v>
      </c>
    </row>
    <row r="172" spans="1:5" x14ac:dyDescent="0.35">
      <c r="A172" t="s">
        <v>253</v>
      </c>
      <c r="B172" t="s">
        <v>425</v>
      </c>
      <c r="C172" s="24">
        <v>44877</v>
      </c>
      <c r="D172" s="22">
        <v>3513</v>
      </c>
      <c r="E172" t="e" vm="6">
        <v>#VALUE!</v>
      </c>
    </row>
    <row r="173" spans="1:5" x14ac:dyDescent="0.35">
      <c r="A173" t="s">
        <v>254</v>
      </c>
      <c r="B173" t="s">
        <v>127</v>
      </c>
      <c r="C173" s="24">
        <v>44928</v>
      </c>
      <c r="D173" s="22">
        <v>9465</v>
      </c>
      <c r="E173" t="e" vm="2">
        <v>#VALUE!</v>
      </c>
    </row>
    <row r="174" spans="1:5" x14ac:dyDescent="0.35">
      <c r="A174" t="s">
        <v>255</v>
      </c>
      <c r="B174" t="s">
        <v>305</v>
      </c>
      <c r="C174" s="24">
        <v>44948</v>
      </c>
      <c r="D174" s="22">
        <v>7804</v>
      </c>
      <c r="E174" t="e" vm="2">
        <v>#VALUE!</v>
      </c>
    </row>
    <row r="175" spans="1:5" x14ac:dyDescent="0.35">
      <c r="A175" t="s">
        <v>256</v>
      </c>
      <c r="B175" t="s">
        <v>361</v>
      </c>
      <c r="C175" s="24">
        <v>44947</v>
      </c>
      <c r="D175" s="22">
        <v>10256</v>
      </c>
      <c r="E175" t="e" vm="4">
        <v>#VALUE!</v>
      </c>
    </row>
    <row r="176" spans="1:5" x14ac:dyDescent="0.35">
      <c r="A176" t="s">
        <v>257</v>
      </c>
      <c r="B176" t="s">
        <v>425</v>
      </c>
      <c r="C176" s="24">
        <v>44952</v>
      </c>
      <c r="D176" s="22">
        <v>5220</v>
      </c>
      <c r="E176" t="e" vm="6">
        <v>#VALUE!</v>
      </c>
    </row>
    <row r="177" spans="1:5" x14ac:dyDescent="0.35">
      <c r="A177" t="s">
        <v>258</v>
      </c>
      <c r="B177" t="s">
        <v>361</v>
      </c>
      <c r="C177" s="24">
        <v>44897</v>
      </c>
      <c r="D177" s="22">
        <v>2916</v>
      </c>
      <c r="E177" t="e" vm="2">
        <v>#VALUE!</v>
      </c>
    </row>
    <row r="178" spans="1:5" x14ac:dyDescent="0.35">
      <c r="A178" t="s">
        <v>259</v>
      </c>
      <c r="B178" t="s">
        <v>81</v>
      </c>
      <c r="C178" s="24">
        <v>44956</v>
      </c>
      <c r="D178" s="22">
        <v>17349</v>
      </c>
      <c r="E178" t="e" vm="2">
        <v>#VALUE!</v>
      </c>
    </row>
    <row r="179" spans="1:5" x14ac:dyDescent="0.35">
      <c r="A179" t="s">
        <v>260</v>
      </c>
      <c r="B179" t="s">
        <v>350</v>
      </c>
      <c r="C179" s="24">
        <v>44868</v>
      </c>
      <c r="D179" s="22">
        <v>12904</v>
      </c>
      <c r="E179" t="e" vm="4">
        <v>#VALUE!</v>
      </c>
    </row>
    <row r="180" spans="1:5" x14ac:dyDescent="0.35">
      <c r="A180" t="s">
        <v>261</v>
      </c>
      <c r="B180" t="s">
        <v>350</v>
      </c>
      <c r="C180" s="24">
        <v>44895</v>
      </c>
      <c r="D180" s="22">
        <v>2842</v>
      </c>
      <c r="E180" t="e" vm="4">
        <v>#VALUE!</v>
      </c>
    </row>
    <row r="181" spans="1:5" x14ac:dyDescent="0.35">
      <c r="A181" t="s">
        <v>262</v>
      </c>
      <c r="B181" t="s">
        <v>350</v>
      </c>
      <c r="C181" s="24">
        <v>44901</v>
      </c>
      <c r="D181" s="22">
        <v>4549</v>
      </c>
      <c r="E181" t="e" vm="4">
        <v>#VALUE!</v>
      </c>
    </row>
    <row r="182" spans="1:5" x14ac:dyDescent="0.35">
      <c r="A182" t="s">
        <v>263</v>
      </c>
      <c r="B182" t="s">
        <v>305</v>
      </c>
      <c r="C182" s="24">
        <v>44877</v>
      </c>
      <c r="D182" s="22">
        <v>3890</v>
      </c>
      <c r="E182" t="e" vm="2">
        <v>#VALUE!</v>
      </c>
    </row>
    <row r="183" spans="1:5" x14ac:dyDescent="0.35">
      <c r="A183" t="s">
        <v>264</v>
      </c>
      <c r="B183" t="s">
        <v>110</v>
      </c>
      <c r="C183" s="24">
        <v>44893</v>
      </c>
      <c r="D183" s="22">
        <v>16896</v>
      </c>
      <c r="E183" t="e" vm="4">
        <v>#VALUE!</v>
      </c>
    </row>
    <row r="184" spans="1:5" x14ac:dyDescent="0.35">
      <c r="A184" t="s">
        <v>265</v>
      </c>
      <c r="B184" t="s">
        <v>425</v>
      </c>
      <c r="C184" s="24">
        <v>44913</v>
      </c>
      <c r="D184" s="22">
        <v>3060</v>
      </c>
      <c r="E184" t="e" vm="2">
        <v>#VALUE!</v>
      </c>
    </row>
    <row r="185" spans="1:5" x14ac:dyDescent="0.35">
      <c r="A185" t="s">
        <v>266</v>
      </c>
      <c r="B185" t="s">
        <v>110</v>
      </c>
      <c r="C185" s="24">
        <v>44874</v>
      </c>
      <c r="D185" s="22">
        <v>17040</v>
      </c>
      <c r="E185" t="e" vm="2">
        <v>#VALUE!</v>
      </c>
    </row>
    <row r="186" spans="1:5" x14ac:dyDescent="0.35">
      <c r="A186" t="s">
        <v>267</v>
      </c>
      <c r="B186" t="s">
        <v>361</v>
      </c>
      <c r="C186" s="24">
        <v>44926</v>
      </c>
      <c r="D186" s="22">
        <v>12374</v>
      </c>
      <c r="E186" t="e" vm="6">
        <v>#VALUE!</v>
      </c>
    </row>
    <row r="187" spans="1:5" x14ac:dyDescent="0.35">
      <c r="A187" t="s">
        <v>268</v>
      </c>
      <c r="B187" t="s">
        <v>350</v>
      </c>
      <c r="C187" s="24">
        <v>44906</v>
      </c>
      <c r="D187" s="22">
        <v>13284</v>
      </c>
      <c r="E187" t="e" vm="6">
        <v>#VALUE!</v>
      </c>
    </row>
    <row r="188" spans="1:5" x14ac:dyDescent="0.35">
      <c r="A188" t="s">
        <v>269</v>
      </c>
      <c r="B188" t="s">
        <v>350</v>
      </c>
      <c r="C188" s="24">
        <v>44875</v>
      </c>
      <c r="D188" s="22">
        <v>10837</v>
      </c>
      <c r="E188" t="e" vm="2">
        <v>#VALUE!</v>
      </c>
    </row>
    <row r="189" spans="1:5" x14ac:dyDescent="0.35">
      <c r="A189" t="s">
        <v>270</v>
      </c>
      <c r="B189" t="s">
        <v>425</v>
      </c>
      <c r="C189" s="24">
        <v>44938</v>
      </c>
      <c r="D189" s="22">
        <v>9772</v>
      </c>
      <c r="E189" t="e" vm="2">
        <v>#VALUE!</v>
      </c>
    </row>
    <row r="190" spans="1:5" x14ac:dyDescent="0.35">
      <c r="A190" t="s">
        <v>271</v>
      </c>
      <c r="B190" t="s">
        <v>110</v>
      </c>
      <c r="C190" s="24">
        <v>44890</v>
      </c>
      <c r="D190" s="22">
        <v>18468</v>
      </c>
      <c r="E190" t="e" vm="6">
        <v>#VALUE!</v>
      </c>
    </row>
    <row r="191" spans="1:5" x14ac:dyDescent="0.35">
      <c r="A191" t="s">
        <v>272</v>
      </c>
      <c r="B191" t="s">
        <v>361</v>
      </c>
      <c r="C191" s="24">
        <v>44876</v>
      </c>
      <c r="D191" s="22">
        <v>15295</v>
      </c>
      <c r="E191" t="e" vm="2">
        <v>#VALUE!</v>
      </c>
    </row>
    <row r="192" spans="1:5" x14ac:dyDescent="0.35">
      <c r="A192" t="s">
        <v>273</v>
      </c>
      <c r="B192" t="s">
        <v>305</v>
      </c>
      <c r="C192" s="24">
        <v>44874</v>
      </c>
      <c r="D192" s="22">
        <v>12456</v>
      </c>
      <c r="E192" t="e" vm="4">
        <v>#VALUE!</v>
      </c>
    </row>
    <row r="193" spans="1:5" x14ac:dyDescent="0.35">
      <c r="A193" t="s">
        <v>274</v>
      </c>
      <c r="B193" t="s">
        <v>81</v>
      </c>
      <c r="C193" s="24">
        <v>44907</v>
      </c>
      <c r="D193" s="22">
        <v>16568</v>
      </c>
      <c r="E193" t="e" vm="6">
        <v>#VALUE!</v>
      </c>
    </row>
    <row r="194" spans="1:5" x14ac:dyDescent="0.35">
      <c r="A194" t="s">
        <v>275</v>
      </c>
      <c r="B194" t="s">
        <v>81</v>
      </c>
      <c r="C194" s="24">
        <v>44935</v>
      </c>
      <c r="D194" s="22">
        <v>8590</v>
      </c>
      <c r="E194" t="e" vm="2">
        <v>#VALUE!</v>
      </c>
    </row>
    <row r="195" spans="1:5" x14ac:dyDescent="0.35">
      <c r="A195" t="s">
        <v>276</v>
      </c>
      <c r="B195" t="s">
        <v>305</v>
      </c>
      <c r="C195" s="24">
        <v>44938</v>
      </c>
      <c r="D195" s="22">
        <v>8065</v>
      </c>
      <c r="E195" t="e" vm="2">
        <v>#VALUE!</v>
      </c>
    </row>
    <row r="196" spans="1:5" x14ac:dyDescent="0.35">
      <c r="A196" t="s">
        <v>277</v>
      </c>
      <c r="B196" t="s">
        <v>81</v>
      </c>
      <c r="C196" s="24">
        <v>44953</v>
      </c>
      <c r="D196" s="22">
        <v>14003</v>
      </c>
      <c r="E196" t="e" vm="4">
        <v>#VALUE!</v>
      </c>
    </row>
    <row r="197" spans="1:5" x14ac:dyDescent="0.35">
      <c r="A197" t="s">
        <v>278</v>
      </c>
      <c r="B197" t="s">
        <v>305</v>
      </c>
      <c r="C197" s="24">
        <v>44921</v>
      </c>
      <c r="D197" s="22">
        <v>4415</v>
      </c>
      <c r="E197" t="e" vm="6">
        <v>#VALUE!</v>
      </c>
    </row>
    <row r="198" spans="1:5" x14ac:dyDescent="0.35">
      <c r="A198" t="s">
        <v>279</v>
      </c>
      <c r="B198" t="s">
        <v>110</v>
      </c>
      <c r="C198" s="24">
        <v>44929</v>
      </c>
      <c r="D198" s="22">
        <v>9724</v>
      </c>
      <c r="E198" t="e" vm="4">
        <v>#VALUE!</v>
      </c>
    </row>
    <row r="199" spans="1:5" x14ac:dyDescent="0.35">
      <c r="A199" t="s">
        <v>280</v>
      </c>
      <c r="B199" t="s">
        <v>127</v>
      </c>
      <c r="C199" s="24">
        <v>44925</v>
      </c>
      <c r="D199" s="22">
        <v>1683</v>
      </c>
      <c r="E199" t="e" vm="2">
        <v>#VALUE!</v>
      </c>
    </row>
    <row r="200" spans="1:5" x14ac:dyDescent="0.35">
      <c r="A200" t="s">
        <v>281</v>
      </c>
      <c r="B200" t="s">
        <v>305</v>
      </c>
      <c r="C200" s="24">
        <v>44891</v>
      </c>
      <c r="D200" s="22">
        <v>14094</v>
      </c>
      <c r="E200" t="e" vm="6">
        <v>#VALUE!</v>
      </c>
    </row>
    <row r="201" spans="1:5" x14ac:dyDescent="0.35">
      <c r="A201" t="s">
        <v>282</v>
      </c>
      <c r="B201" t="s">
        <v>81</v>
      </c>
      <c r="C201" s="24">
        <v>44929</v>
      </c>
      <c r="D201" s="22">
        <v>10199</v>
      </c>
      <c r="E201" t="e" vm="6">
        <v>#VALUE!</v>
      </c>
    </row>
    <row r="202" spans="1:5" x14ac:dyDescent="0.35">
      <c r="A202" t="s">
        <v>283</v>
      </c>
      <c r="B202" t="s">
        <v>361</v>
      </c>
      <c r="C202" s="24">
        <v>44889</v>
      </c>
      <c r="D202" s="22">
        <v>9358</v>
      </c>
      <c r="E202" t="e" vm="4">
        <v>#VALUE!</v>
      </c>
    </row>
    <row r="203" spans="1:5" x14ac:dyDescent="0.35">
      <c r="A203" t="s">
        <v>284</v>
      </c>
      <c r="B203" t="s">
        <v>361</v>
      </c>
      <c r="C203" s="24">
        <v>44924</v>
      </c>
      <c r="D203" s="22">
        <v>17161</v>
      </c>
      <c r="E203" t="e" vm="2">
        <v>#VALUE!</v>
      </c>
    </row>
    <row r="204" spans="1:5" x14ac:dyDescent="0.35">
      <c r="A204" t="s">
        <v>285</v>
      </c>
      <c r="B204" t="s">
        <v>425</v>
      </c>
      <c r="C204" s="24">
        <v>44947</v>
      </c>
      <c r="D204" s="22">
        <v>6766</v>
      </c>
      <c r="E204" t="e" vm="4">
        <v>#VALUE!</v>
      </c>
    </row>
    <row r="205" spans="1:5" x14ac:dyDescent="0.35">
      <c r="A205" t="s">
        <v>286</v>
      </c>
      <c r="B205" t="s">
        <v>127</v>
      </c>
      <c r="C205" s="24">
        <v>44901</v>
      </c>
      <c r="D205" s="22">
        <v>7675</v>
      </c>
      <c r="E205" t="e" vm="4">
        <v>#VALUE!</v>
      </c>
    </row>
    <row r="206" spans="1:5" x14ac:dyDescent="0.35">
      <c r="A206" t="s">
        <v>287</v>
      </c>
      <c r="B206" t="s">
        <v>350</v>
      </c>
      <c r="C206" s="24">
        <v>44902</v>
      </c>
      <c r="D206" s="22">
        <v>3683</v>
      </c>
      <c r="E206" t="e" vm="6">
        <v>#VALUE!</v>
      </c>
    </row>
    <row r="207" spans="1:5" x14ac:dyDescent="0.35">
      <c r="A207" t="s">
        <v>288</v>
      </c>
      <c r="B207" t="s">
        <v>350</v>
      </c>
      <c r="C207" s="24">
        <v>44948</v>
      </c>
      <c r="D207" s="22">
        <v>11360</v>
      </c>
      <c r="E207" t="e" vm="4">
        <v>#VALUE!</v>
      </c>
    </row>
    <row r="208" spans="1:5" x14ac:dyDescent="0.35">
      <c r="A208" t="s">
        <v>289</v>
      </c>
      <c r="B208" t="s">
        <v>425</v>
      </c>
      <c r="C208" s="24">
        <v>44902</v>
      </c>
      <c r="D208" s="22">
        <v>9882</v>
      </c>
      <c r="E208" t="e" vm="6">
        <v>#VALUE!</v>
      </c>
    </row>
    <row r="209" spans="1:5" x14ac:dyDescent="0.35">
      <c r="A209" t="s">
        <v>290</v>
      </c>
      <c r="B209" t="s">
        <v>81</v>
      </c>
      <c r="C209" s="24">
        <v>44870</v>
      </c>
      <c r="D209" s="22">
        <v>2607</v>
      </c>
      <c r="E209" t="e" vm="4">
        <v>#VALUE!</v>
      </c>
    </row>
    <row r="210" spans="1:5" x14ac:dyDescent="0.35">
      <c r="A210" t="s">
        <v>291</v>
      </c>
      <c r="B210" t="s">
        <v>305</v>
      </c>
      <c r="C210" s="24">
        <v>44931</v>
      </c>
      <c r="D210" s="22">
        <v>12736</v>
      </c>
      <c r="E210" t="e" vm="6">
        <v>#VALUE!</v>
      </c>
    </row>
    <row r="211" spans="1:5" x14ac:dyDescent="0.35">
      <c r="A211" t="s">
        <v>292</v>
      </c>
      <c r="B211" t="s">
        <v>81</v>
      </c>
      <c r="C211" s="24">
        <v>44913</v>
      </c>
      <c r="D211" s="22">
        <v>16087</v>
      </c>
      <c r="E211" t="e" vm="4">
        <v>#VALUE!</v>
      </c>
    </row>
    <row r="212" spans="1:5" x14ac:dyDescent="0.35">
      <c r="A212" t="s">
        <v>293</v>
      </c>
      <c r="B212" t="s">
        <v>425</v>
      </c>
      <c r="C212" s="24">
        <v>44927</v>
      </c>
      <c r="D212" s="22">
        <v>10964</v>
      </c>
      <c r="E212" t="e" vm="4">
        <v>#VALUE!</v>
      </c>
    </row>
    <row r="213" spans="1:5" x14ac:dyDescent="0.35">
      <c r="A213" t="s">
        <v>294</v>
      </c>
      <c r="B213" t="s">
        <v>110</v>
      </c>
      <c r="C213" s="24">
        <v>44895</v>
      </c>
      <c r="D213" s="22">
        <v>19950</v>
      </c>
      <c r="E213" t="e" vm="6">
        <v>#VALUE!</v>
      </c>
    </row>
    <row r="214" spans="1:5" x14ac:dyDescent="0.35">
      <c r="A214" t="s">
        <v>295</v>
      </c>
      <c r="B214" t="s">
        <v>81</v>
      </c>
      <c r="C214" s="24">
        <v>44878</v>
      </c>
      <c r="D214" s="22">
        <v>14958</v>
      </c>
      <c r="E214" t="e" vm="6">
        <v>#VALUE!</v>
      </c>
    </row>
    <row r="215" spans="1:5" x14ac:dyDescent="0.35">
      <c r="A215" t="s">
        <v>296</v>
      </c>
      <c r="B215" t="s">
        <v>361</v>
      </c>
      <c r="C215" s="24">
        <v>44899</v>
      </c>
      <c r="D215" s="22">
        <v>7770</v>
      </c>
      <c r="E215" t="e" vm="6">
        <v>#VALUE!</v>
      </c>
    </row>
    <row r="216" spans="1:5" x14ac:dyDescent="0.35">
      <c r="A216" t="s">
        <v>297</v>
      </c>
      <c r="B216" t="s">
        <v>350</v>
      </c>
      <c r="C216" s="24">
        <v>44936</v>
      </c>
      <c r="D216" s="22">
        <v>16535</v>
      </c>
      <c r="E216" t="e" vm="4">
        <v>#VALUE!</v>
      </c>
    </row>
    <row r="217" spans="1:5" x14ac:dyDescent="0.35">
      <c r="A217" t="s">
        <v>298</v>
      </c>
      <c r="B217" t="s">
        <v>110</v>
      </c>
      <c r="C217" s="24">
        <v>44899</v>
      </c>
      <c r="D217" s="22">
        <v>9844</v>
      </c>
      <c r="E217" t="e" vm="6">
        <v>#VALUE!</v>
      </c>
    </row>
    <row r="218" spans="1:5" x14ac:dyDescent="0.35">
      <c r="A218" t="s">
        <v>299</v>
      </c>
      <c r="B218" t="s">
        <v>305</v>
      </c>
      <c r="C218" s="24">
        <v>44935</v>
      </c>
      <c r="D218" s="22">
        <v>16796</v>
      </c>
      <c r="E218" t="e" vm="6">
        <v>#VALUE!</v>
      </c>
    </row>
    <row r="219" spans="1:5" x14ac:dyDescent="0.35">
      <c r="A219" t="s">
        <v>300</v>
      </c>
      <c r="B219" t="s">
        <v>350</v>
      </c>
      <c r="C219" s="24">
        <v>44927</v>
      </c>
      <c r="D219" s="22">
        <v>15453</v>
      </c>
      <c r="E219" t="e" vm="6">
        <v>#VALUE!</v>
      </c>
    </row>
    <row r="220" spans="1:5" x14ac:dyDescent="0.35">
      <c r="A220" t="s">
        <v>301</v>
      </c>
      <c r="B220" t="s">
        <v>350</v>
      </c>
      <c r="C220" s="24">
        <v>44882</v>
      </c>
      <c r="D220" s="22">
        <v>17402</v>
      </c>
      <c r="E220" t="e" vm="4">
        <v>#VALUE!</v>
      </c>
    </row>
    <row r="221" spans="1:5" x14ac:dyDescent="0.35">
      <c r="A221" t="s">
        <v>302</v>
      </c>
      <c r="B221" t="s">
        <v>425</v>
      </c>
      <c r="C221" s="24">
        <v>44888</v>
      </c>
      <c r="D221" s="22">
        <v>7306</v>
      </c>
      <c r="E221" t="e" vm="6">
        <v>#VALUE!</v>
      </c>
    </row>
    <row r="222" spans="1:5" x14ac:dyDescent="0.35">
      <c r="A222" t="s">
        <v>303</v>
      </c>
      <c r="B222" t="s">
        <v>81</v>
      </c>
      <c r="C222" s="24">
        <v>44901</v>
      </c>
      <c r="D222" s="22">
        <v>7224</v>
      </c>
      <c r="E222" t="e" vm="4">
        <v>#VALUE!</v>
      </c>
    </row>
    <row r="223" spans="1:5" x14ac:dyDescent="0.35">
      <c r="A223" t="s">
        <v>304</v>
      </c>
      <c r="B223" t="s">
        <v>127</v>
      </c>
      <c r="C223" s="24">
        <v>44954</v>
      </c>
      <c r="D223" s="22">
        <v>10978</v>
      </c>
      <c r="E223" t="e" vm="2">
        <v>#VALUE!</v>
      </c>
    </row>
    <row r="224" spans="1:5" x14ac:dyDescent="0.35">
      <c r="A224" t="s">
        <v>306</v>
      </c>
      <c r="B224" t="s">
        <v>350</v>
      </c>
      <c r="C224" s="24">
        <v>44870</v>
      </c>
      <c r="D224" s="22">
        <v>7277</v>
      </c>
      <c r="E224" t="e" vm="6">
        <v>#VALUE!</v>
      </c>
    </row>
    <row r="225" spans="1:5" x14ac:dyDescent="0.35">
      <c r="A225" t="s">
        <v>307</v>
      </c>
      <c r="B225" t="s">
        <v>305</v>
      </c>
      <c r="C225" s="24">
        <v>44909</v>
      </c>
      <c r="D225" s="22">
        <v>10150</v>
      </c>
      <c r="E225" t="e" vm="2">
        <v>#VALUE!</v>
      </c>
    </row>
    <row r="226" spans="1:5" x14ac:dyDescent="0.35">
      <c r="A226" t="s">
        <v>308</v>
      </c>
      <c r="B226" t="s">
        <v>81</v>
      </c>
      <c r="C226" s="24">
        <v>44889</v>
      </c>
      <c r="D226" s="22">
        <v>6534</v>
      </c>
      <c r="E226" t="e" vm="4">
        <v>#VALUE!</v>
      </c>
    </row>
    <row r="227" spans="1:5" x14ac:dyDescent="0.35">
      <c r="A227" t="s">
        <v>309</v>
      </c>
      <c r="B227" t="s">
        <v>425</v>
      </c>
      <c r="C227" s="24">
        <v>44887</v>
      </c>
      <c r="D227" s="22">
        <v>3167</v>
      </c>
      <c r="E227" t="e" vm="6">
        <v>#VALUE!</v>
      </c>
    </row>
    <row r="228" spans="1:5" x14ac:dyDescent="0.35">
      <c r="A228" t="s">
        <v>310</v>
      </c>
      <c r="B228" t="s">
        <v>110</v>
      </c>
      <c r="C228" s="24">
        <v>44939</v>
      </c>
      <c r="D228" s="22">
        <v>5089</v>
      </c>
      <c r="E228" t="e" vm="2">
        <v>#VALUE!</v>
      </c>
    </row>
    <row r="229" spans="1:5" x14ac:dyDescent="0.35">
      <c r="A229" t="s">
        <v>311</v>
      </c>
      <c r="B229" t="s">
        <v>361</v>
      </c>
      <c r="C229" s="24">
        <v>44897</v>
      </c>
      <c r="D229" s="22">
        <v>14449</v>
      </c>
      <c r="E229" t="e" vm="6">
        <v>#VALUE!</v>
      </c>
    </row>
    <row r="230" spans="1:5" x14ac:dyDescent="0.35">
      <c r="A230" t="s">
        <v>312</v>
      </c>
      <c r="B230" t="s">
        <v>305</v>
      </c>
      <c r="C230" s="24">
        <v>44872</v>
      </c>
      <c r="D230" s="22">
        <v>10046</v>
      </c>
      <c r="E230" t="e" vm="4">
        <v>#VALUE!</v>
      </c>
    </row>
    <row r="231" spans="1:5" x14ac:dyDescent="0.35">
      <c r="A231" t="s">
        <v>313</v>
      </c>
      <c r="B231" t="s">
        <v>81</v>
      </c>
      <c r="C231" s="24">
        <v>44914</v>
      </c>
      <c r="D231" s="22">
        <v>1460</v>
      </c>
      <c r="E231" t="e" vm="4">
        <v>#VALUE!</v>
      </c>
    </row>
    <row r="232" spans="1:5" x14ac:dyDescent="0.35">
      <c r="A232" t="s">
        <v>314</v>
      </c>
      <c r="B232" t="s">
        <v>110</v>
      </c>
      <c r="C232" s="24">
        <v>44891</v>
      </c>
      <c r="D232" s="22">
        <v>6454</v>
      </c>
      <c r="E232" t="e" vm="2">
        <v>#VALUE!</v>
      </c>
    </row>
    <row r="233" spans="1:5" x14ac:dyDescent="0.35">
      <c r="A233" t="s">
        <v>315</v>
      </c>
      <c r="B233" t="s">
        <v>110</v>
      </c>
      <c r="C233" s="24">
        <v>44890</v>
      </c>
      <c r="D233" s="22">
        <v>13309</v>
      </c>
      <c r="E233" t="e" vm="2">
        <v>#VALUE!</v>
      </c>
    </row>
    <row r="234" spans="1:5" x14ac:dyDescent="0.35">
      <c r="A234" t="s">
        <v>316</v>
      </c>
      <c r="B234" t="s">
        <v>305</v>
      </c>
      <c r="C234" s="24">
        <v>44951</v>
      </c>
      <c r="D234" s="22">
        <v>16444</v>
      </c>
      <c r="E234" t="e" vm="4">
        <v>#VALUE!</v>
      </c>
    </row>
    <row r="235" spans="1:5" x14ac:dyDescent="0.35">
      <c r="A235" t="s">
        <v>317</v>
      </c>
      <c r="B235" t="s">
        <v>110</v>
      </c>
      <c r="C235" s="24">
        <v>44898</v>
      </c>
      <c r="D235" s="22">
        <v>8778</v>
      </c>
      <c r="E235" t="e" vm="6">
        <v>#VALUE!</v>
      </c>
    </row>
    <row r="236" spans="1:5" x14ac:dyDescent="0.35">
      <c r="A236" t="s">
        <v>318</v>
      </c>
      <c r="B236" t="s">
        <v>305</v>
      </c>
      <c r="C236" s="24">
        <v>44951</v>
      </c>
      <c r="D236" s="22">
        <v>6182</v>
      </c>
      <c r="E236" t="e" vm="2">
        <v>#VALUE!</v>
      </c>
    </row>
    <row r="237" spans="1:5" x14ac:dyDescent="0.35">
      <c r="A237" t="s">
        <v>319</v>
      </c>
      <c r="B237" t="s">
        <v>127</v>
      </c>
      <c r="C237" s="24">
        <v>44886</v>
      </c>
      <c r="D237" s="22">
        <v>8306</v>
      </c>
      <c r="E237" t="e" vm="4">
        <v>#VALUE!</v>
      </c>
    </row>
    <row r="238" spans="1:5" x14ac:dyDescent="0.35">
      <c r="A238" t="s">
        <v>320</v>
      </c>
      <c r="B238" t="s">
        <v>127</v>
      </c>
      <c r="C238" s="24">
        <v>44919</v>
      </c>
      <c r="D238" s="22">
        <v>4198</v>
      </c>
      <c r="E238" t="e" vm="4">
        <v>#VALUE!</v>
      </c>
    </row>
    <row r="239" spans="1:5" x14ac:dyDescent="0.35">
      <c r="A239" t="s">
        <v>321</v>
      </c>
      <c r="B239" t="s">
        <v>350</v>
      </c>
      <c r="C239" s="24">
        <v>44908</v>
      </c>
      <c r="D239" s="22">
        <v>10209</v>
      </c>
      <c r="E239" t="e" vm="6">
        <v>#VALUE!</v>
      </c>
    </row>
    <row r="240" spans="1:5" x14ac:dyDescent="0.35">
      <c r="A240" t="s">
        <v>322</v>
      </c>
      <c r="B240" t="s">
        <v>350</v>
      </c>
      <c r="C240" s="24">
        <v>44954</v>
      </c>
      <c r="D240" s="22">
        <v>19334</v>
      </c>
      <c r="E240" t="e" vm="2">
        <v>#VALUE!</v>
      </c>
    </row>
    <row r="241" spans="1:5" x14ac:dyDescent="0.35">
      <c r="A241" t="s">
        <v>323</v>
      </c>
      <c r="B241" t="s">
        <v>305</v>
      </c>
      <c r="C241" s="24">
        <v>44891</v>
      </c>
      <c r="D241" s="22">
        <v>2264</v>
      </c>
      <c r="E241" t="e" vm="6">
        <v>#VALUE!</v>
      </c>
    </row>
    <row r="242" spans="1:5" x14ac:dyDescent="0.35">
      <c r="A242" t="s">
        <v>324</v>
      </c>
      <c r="B242" t="s">
        <v>81</v>
      </c>
      <c r="C242" s="24">
        <v>44876</v>
      </c>
      <c r="D242" s="22">
        <v>8211</v>
      </c>
      <c r="E242" t="e" vm="4">
        <v>#VALUE!</v>
      </c>
    </row>
    <row r="243" spans="1:5" x14ac:dyDescent="0.35">
      <c r="A243" t="s">
        <v>325</v>
      </c>
      <c r="B243" t="s">
        <v>305</v>
      </c>
      <c r="C243" s="24">
        <v>44922</v>
      </c>
      <c r="D243" s="22">
        <v>7100</v>
      </c>
      <c r="E243" t="e" vm="2">
        <v>#VALUE!</v>
      </c>
    </row>
    <row r="244" spans="1:5" x14ac:dyDescent="0.35">
      <c r="A244" t="s">
        <v>326</v>
      </c>
      <c r="B244" t="s">
        <v>350</v>
      </c>
      <c r="C244" s="24">
        <v>44900</v>
      </c>
      <c r="D244" s="22">
        <v>11363</v>
      </c>
      <c r="E244" t="e" vm="4">
        <v>#VALUE!</v>
      </c>
    </row>
    <row r="245" spans="1:5" x14ac:dyDescent="0.35">
      <c r="A245" t="s">
        <v>327</v>
      </c>
      <c r="B245" t="s">
        <v>110</v>
      </c>
      <c r="C245" s="24">
        <v>44931</v>
      </c>
      <c r="D245" s="22">
        <v>11234</v>
      </c>
      <c r="E245" t="e" vm="4">
        <v>#VALUE!</v>
      </c>
    </row>
    <row r="246" spans="1:5" x14ac:dyDescent="0.35">
      <c r="A246" t="s">
        <v>328</v>
      </c>
      <c r="B246" t="s">
        <v>305</v>
      </c>
      <c r="C246" s="24">
        <v>44943</v>
      </c>
      <c r="D246" s="22">
        <v>3581</v>
      </c>
      <c r="E246" t="e" vm="4">
        <v>#VALUE!</v>
      </c>
    </row>
    <row r="247" spans="1:5" x14ac:dyDescent="0.35">
      <c r="A247" t="s">
        <v>329</v>
      </c>
      <c r="B247" t="s">
        <v>350</v>
      </c>
      <c r="C247" s="24">
        <v>44873</v>
      </c>
      <c r="D247" s="22">
        <v>13961</v>
      </c>
      <c r="E247" t="e" vm="4">
        <v>#VALUE!</v>
      </c>
    </row>
    <row r="248" spans="1:5" x14ac:dyDescent="0.35">
      <c r="A248" t="s">
        <v>330</v>
      </c>
      <c r="B248" t="s">
        <v>361</v>
      </c>
      <c r="C248" s="24">
        <v>44912</v>
      </c>
      <c r="D248" s="22">
        <v>13046</v>
      </c>
      <c r="E248" t="e" vm="2">
        <v>#VALUE!</v>
      </c>
    </row>
    <row r="249" spans="1:5" x14ac:dyDescent="0.35">
      <c r="A249" t="s">
        <v>331</v>
      </c>
      <c r="B249" t="s">
        <v>305</v>
      </c>
      <c r="C249" s="24">
        <v>44955</v>
      </c>
      <c r="D249" s="22">
        <v>16251</v>
      </c>
      <c r="E249" t="e" vm="2">
        <v>#VALUE!</v>
      </c>
    </row>
    <row r="250" spans="1:5" x14ac:dyDescent="0.35">
      <c r="A250" t="s">
        <v>332</v>
      </c>
      <c r="B250" t="s">
        <v>110</v>
      </c>
      <c r="C250" s="24">
        <v>44878</v>
      </c>
      <c r="D250" s="22">
        <v>11325</v>
      </c>
      <c r="E250" t="e" vm="2">
        <v>#VALUE!</v>
      </c>
    </row>
    <row r="251" spans="1:5" x14ac:dyDescent="0.35">
      <c r="A251" t="s">
        <v>333</v>
      </c>
      <c r="B251" t="s">
        <v>110</v>
      </c>
      <c r="C251" s="24">
        <v>44890</v>
      </c>
      <c r="D251" s="22">
        <v>16792</v>
      </c>
      <c r="E251" t="e" vm="2">
        <v>#VALUE!</v>
      </c>
    </row>
    <row r="252" spans="1:5" x14ac:dyDescent="0.35">
      <c r="A252" t="s">
        <v>334</v>
      </c>
      <c r="B252" t="s">
        <v>127</v>
      </c>
      <c r="C252" s="24">
        <v>44935</v>
      </c>
      <c r="D252" s="22">
        <v>3932</v>
      </c>
      <c r="E252" t="e" vm="4">
        <v>#VALUE!</v>
      </c>
    </row>
    <row r="253" spans="1:5" x14ac:dyDescent="0.35">
      <c r="A253" t="s">
        <v>335</v>
      </c>
      <c r="B253" t="s">
        <v>127</v>
      </c>
      <c r="C253" s="24">
        <v>44933</v>
      </c>
      <c r="D253" s="22">
        <v>2455</v>
      </c>
      <c r="E253" t="e" vm="2">
        <v>#VALUE!</v>
      </c>
    </row>
    <row r="254" spans="1:5" x14ac:dyDescent="0.35">
      <c r="A254" t="s">
        <v>336</v>
      </c>
      <c r="B254" t="s">
        <v>81</v>
      </c>
      <c r="C254" s="24">
        <v>44879</v>
      </c>
      <c r="D254" s="22">
        <v>17019</v>
      </c>
      <c r="E254" t="e" vm="6">
        <v>#VALUE!</v>
      </c>
    </row>
    <row r="255" spans="1:5" x14ac:dyDescent="0.35">
      <c r="A255" t="s">
        <v>337</v>
      </c>
      <c r="B255" t="s">
        <v>127</v>
      </c>
      <c r="C255" s="24">
        <v>44956</v>
      </c>
      <c r="D255" s="22">
        <v>17263</v>
      </c>
      <c r="E255" t="e" vm="2">
        <v>#VALUE!</v>
      </c>
    </row>
    <row r="256" spans="1:5" x14ac:dyDescent="0.35">
      <c r="A256" t="s">
        <v>338</v>
      </c>
      <c r="B256" t="s">
        <v>361</v>
      </c>
      <c r="C256" s="24">
        <v>44950</v>
      </c>
      <c r="D256" s="22">
        <v>16448</v>
      </c>
      <c r="E256" t="e" vm="6">
        <v>#VALUE!</v>
      </c>
    </row>
    <row r="257" spans="1:5" x14ac:dyDescent="0.35">
      <c r="A257" t="s">
        <v>339</v>
      </c>
      <c r="B257" t="s">
        <v>425</v>
      </c>
      <c r="C257" s="24">
        <v>44900</v>
      </c>
      <c r="D257" s="22">
        <v>14743</v>
      </c>
      <c r="E257" t="e" vm="2">
        <v>#VALUE!</v>
      </c>
    </row>
    <row r="258" spans="1:5" x14ac:dyDescent="0.35">
      <c r="A258" t="s">
        <v>340</v>
      </c>
      <c r="B258" t="s">
        <v>110</v>
      </c>
      <c r="C258" s="24">
        <v>44868</v>
      </c>
      <c r="D258" s="22">
        <v>4909</v>
      </c>
      <c r="E258" t="e" vm="2">
        <v>#VALUE!</v>
      </c>
    </row>
    <row r="259" spans="1:5" x14ac:dyDescent="0.35">
      <c r="A259" t="s">
        <v>341</v>
      </c>
      <c r="B259" t="s">
        <v>425</v>
      </c>
      <c r="C259" s="24">
        <v>44888</v>
      </c>
      <c r="D259" s="22">
        <v>11112</v>
      </c>
      <c r="E259" t="e" vm="2">
        <v>#VALUE!</v>
      </c>
    </row>
    <row r="260" spans="1:5" x14ac:dyDescent="0.35">
      <c r="A260" t="s">
        <v>342</v>
      </c>
      <c r="B260" t="s">
        <v>81</v>
      </c>
      <c r="C260" s="24">
        <v>44905</v>
      </c>
      <c r="D260" s="22">
        <v>4305</v>
      </c>
      <c r="E260" t="e" vm="2">
        <v>#VALUE!</v>
      </c>
    </row>
    <row r="261" spans="1:5" x14ac:dyDescent="0.35">
      <c r="A261" t="s">
        <v>343</v>
      </c>
      <c r="B261" t="s">
        <v>110</v>
      </c>
      <c r="C261" s="24">
        <v>44909</v>
      </c>
      <c r="D261" s="22">
        <v>18114</v>
      </c>
      <c r="E261" t="e" vm="4">
        <v>#VALUE!</v>
      </c>
    </row>
    <row r="262" spans="1:5" x14ac:dyDescent="0.35">
      <c r="A262" t="s">
        <v>344</v>
      </c>
      <c r="B262" t="s">
        <v>305</v>
      </c>
      <c r="C262" s="24">
        <v>44952</v>
      </c>
      <c r="D262" s="22">
        <v>2847</v>
      </c>
      <c r="E262" t="e" vm="6">
        <v>#VALUE!</v>
      </c>
    </row>
    <row r="263" spans="1:5" x14ac:dyDescent="0.35">
      <c r="A263" t="s">
        <v>345</v>
      </c>
      <c r="B263" t="s">
        <v>110</v>
      </c>
      <c r="C263" s="24">
        <v>44888</v>
      </c>
      <c r="D263" s="22">
        <v>5832</v>
      </c>
      <c r="E263" t="e" vm="6">
        <v>#VALUE!</v>
      </c>
    </row>
    <row r="264" spans="1:5" x14ac:dyDescent="0.35">
      <c r="A264" t="s">
        <v>346</v>
      </c>
      <c r="B264" t="s">
        <v>350</v>
      </c>
      <c r="C264" s="24">
        <v>44894</v>
      </c>
      <c r="D264" s="22">
        <v>8181</v>
      </c>
      <c r="E264" t="e" vm="6">
        <v>#VALUE!</v>
      </c>
    </row>
    <row r="265" spans="1:5" x14ac:dyDescent="0.35">
      <c r="A265" t="s">
        <v>347</v>
      </c>
      <c r="B265" t="s">
        <v>110</v>
      </c>
      <c r="C265" s="24">
        <v>44937</v>
      </c>
      <c r="D265" s="22">
        <v>7917</v>
      </c>
      <c r="E265" t="e" vm="6">
        <v>#VALUE!</v>
      </c>
    </row>
    <row r="266" spans="1:5" x14ac:dyDescent="0.35">
      <c r="A266" t="s">
        <v>348</v>
      </c>
      <c r="B266" t="s">
        <v>425</v>
      </c>
      <c r="C266" s="24">
        <v>44916</v>
      </c>
      <c r="D266" s="22">
        <v>13125</v>
      </c>
      <c r="E266" t="e" vm="2">
        <v>#VALUE!</v>
      </c>
    </row>
    <row r="267" spans="1:5" x14ac:dyDescent="0.35">
      <c r="A267" t="s">
        <v>349</v>
      </c>
      <c r="B267" t="s">
        <v>81</v>
      </c>
      <c r="C267" s="24">
        <v>44946</v>
      </c>
      <c r="D267" s="22">
        <v>3063</v>
      </c>
      <c r="E267" t="e" vm="2">
        <v>#VALUE!</v>
      </c>
    </row>
    <row r="268" spans="1:5" x14ac:dyDescent="0.35">
      <c r="A268" t="s">
        <v>351</v>
      </c>
      <c r="B268" t="s">
        <v>110</v>
      </c>
      <c r="C268" s="24">
        <v>44896</v>
      </c>
      <c r="D268" s="22">
        <v>3512</v>
      </c>
      <c r="E268" t="e" vm="6">
        <v>#VALUE!</v>
      </c>
    </row>
    <row r="269" spans="1:5" x14ac:dyDescent="0.35">
      <c r="A269" t="s">
        <v>352</v>
      </c>
      <c r="B269" t="s">
        <v>81</v>
      </c>
      <c r="C269" s="24">
        <v>44928</v>
      </c>
      <c r="D269" s="22">
        <v>17207</v>
      </c>
      <c r="E269" t="e" vm="6">
        <v>#VALUE!</v>
      </c>
    </row>
    <row r="270" spans="1:5" x14ac:dyDescent="0.35">
      <c r="A270" t="s">
        <v>353</v>
      </c>
      <c r="B270" t="s">
        <v>425</v>
      </c>
      <c r="C270" s="24">
        <v>44918</v>
      </c>
      <c r="D270" s="22">
        <v>3978</v>
      </c>
      <c r="E270" t="e" vm="4">
        <v>#VALUE!</v>
      </c>
    </row>
    <row r="271" spans="1:5" x14ac:dyDescent="0.35">
      <c r="A271" t="s">
        <v>354</v>
      </c>
      <c r="B271" t="s">
        <v>110</v>
      </c>
      <c r="C271" s="24">
        <v>44952</v>
      </c>
      <c r="D271" s="22">
        <v>2325</v>
      </c>
      <c r="E271" t="e" vm="4">
        <v>#VALUE!</v>
      </c>
    </row>
    <row r="272" spans="1:5" x14ac:dyDescent="0.35">
      <c r="A272" t="s">
        <v>355</v>
      </c>
      <c r="B272" t="s">
        <v>425</v>
      </c>
      <c r="C272" s="24">
        <v>44874</v>
      </c>
      <c r="D272" s="22">
        <v>10022</v>
      </c>
      <c r="E272" t="e" vm="6">
        <v>#VALUE!</v>
      </c>
    </row>
    <row r="273" spans="1:5" x14ac:dyDescent="0.35">
      <c r="A273" t="s">
        <v>356</v>
      </c>
      <c r="B273" t="s">
        <v>361</v>
      </c>
      <c r="C273" s="24">
        <v>44934</v>
      </c>
      <c r="D273" s="22">
        <v>14535</v>
      </c>
      <c r="E273" t="e" vm="4">
        <v>#VALUE!</v>
      </c>
    </row>
    <row r="274" spans="1:5" x14ac:dyDescent="0.35">
      <c r="A274" t="s">
        <v>357</v>
      </c>
      <c r="B274" t="s">
        <v>305</v>
      </c>
      <c r="C274" s="24">
        <v>44928</v>
      </c>
      <c r="D274" s="22">
        <v>8991</v>
      </c>
      <c r="E274" t="e" vm="6">
        <v>#VALUE!</v>
      </c>
    </row>
    <row r="275" spans="1:5" x14ac:dyDescent="0.35">
      <c r="A275" t="s">
        <v>358</v>
      </c>
      <c r="B275" t="s">
        <v>127</v>
      </c>
      <c r="C275" s="24">
        <v>44918</v>
      </c>
      <c r="D275" s="22">
        <v>7126</v>
      </c>
      <c r="E275" t="e" vm="2">
        <v>#VALUE!</v>
      </c>
    </row>
    <row r="276" spans="1:5" x14ac:dyDescent="0.35">
      <c r="A276" t="s">
        <v>359</v>
      </c>
      <c r="B276" t="s">
        <v>305</v>
      </c>
      <c r="C276" s="24">
        <v>44884</v>
      </c>
      <c r="D276" s="22">
        <v>3725</v>
      </c>
      <c r="E276" t="e" vm="2">
        <v>#VALUE!</v>
      </c>
    </row>
    <row r="277" spans="1:5" x14ac:dyDescent="0.35">
      <c r="A277" t="s">
        <v>360</v>
      </c>
      <c r="B277" t="s">
        <v>425</v>
      </c>
      <c r="C277" s="24">
        <v>44956</v>
      </c>
      <c r="D277" s="22">
        <v>17623</v>
      </c>
      <c r="E277" t="e" vm="4">
        <v>#VALUE!</v>
      </c>
    </row>
    <row r="278" spans="1:5" x14ac:dyDescent="0.35">
      <c r="A278" t="s">
        <v>362</v>
      </c>
      <c r="B278" t="s">
        <v>305</v>
      </c>
      <c r="C278" s="24">
        <v>44941</v>
      </c>
      <c r="D278" s="22">
        <v>14648</v>
      </c>
      <c r="E278" t="e" vm="6">
        <v>#VALUE!</v>
      </c>
    </row>
    <row r="279" spans="1:5" x14ac:dyDescent="0.35">
      <c r="A279" t="s">
        <v>363</v>
      </c>
      <c r="B279" t="s">
        <v>110</v>
      </c>
      <c r="C279" s="24">
        <v>44898</v>
      </c>
      <c r="D279" s="22">
        <v>15490</v>
      </c>
      <c r="E279" t="e" vm="2">
        <v>#VALUE!</v>
      </c>
    </row>
    <row r="280" spans="1:5" x14ac:dyDescent="0.35">
      <c r="A280" t="s">
        <v>364</v>
      </c>
      <c r="B280" t="s">
        <v>110</v>
      </c>
      <c r="C280" s="24">
        <v>44878</v>
      </c>
      <c r="D280" s="22">
        <v>16712</v>
      </c>
      <c r="E280" t="e" vm="4">
        <v>#VALUE!</v>
      </c>
    </row>
    <row r="281" spans="1:5" x14ac:dyDescent="0.35">
      <c r="A281" t="s">
        <v>365</v>
      </c>
      <c r="B281" t="s">
        <v>350</v>
      </c>
      <c r="C281" s="24">
        <v>44946</v>
      </c>
      <c r="D281" s="22">
        <v>5865</v>
      </c>
      <c r="E281" t="e" vm="6">
        <v>#VALUE!</v>
      </c>
    </row>
    <row r="282" spans="1:5" x14ac:dyDescent="0.35">
      <c r="A282" t="s">
        <v>366</v>
      </c>
      <c r="B282" t="s">
        <v>350</v>
      </c>
      <c r="C282" s="24">
        <v>44872</v>
      </c>
      <c r="D282" s="22">
        <v>12072</v>
      </c>
      <c r="E282" t="e" vm="2">
        <v>#VALUE!</v>
      </c>
    </row>
    <row r="283" spans="1:5" x14ac:dyDescent="0.35">
      <c r="A283" t="s">
        <v>367</v>
      </c>
      <c r="B283" t="s">
        <v>81</v>
      </c>
      <c r="C283" s="24">
        <v>44889</v>
      </c>
      <c r="D283" s="22">
        <v>2512</v>
      </c>
      <c r="E283" t="e" vm="2">
        <v>#VALUE!</v>
      </c>
    </row>
    <row r="284" spans="1:5" x14ac:dyDescent="0.35">
      <c r="A284" t="s">
        <v>368</v>
      </c>
      <c r="B284" t="s">
        <v>127</v>
      </c>
      <c r="C284" s="24">
        <v>44880</v>
      </c>
      <c r="D284" s="22">
        <v>19485</v>
      </c>
      <c r="E284" t="e" vm="2">
        <v>#VALUE!</v>
      </c>
    </row>
    <row r="285" spans="1:5" x14ac:dyDescent="0.35">
      <c r="A285" t="s">
        <v>369</v>
      </c>
      <c r="B285" t="s">
        <v>81</v>
      </c>
      <c r="C285" s="24">
        <v>44930</v>
      </c>
      <c r="D285" s="22">
        <v>11974</v>
      </c>
      <c r="E285" t="e" vm="6">
        <v>#VALUE!</v>
      </c>
    </row>
    <row r="286" spans="1:5" x14ac:dyDescent="0.35">
      <c r="A286" t="s">
        <v>370</v>
      </c>
      <c r="B286" t="s">
        <v>425</v>
      </c>
      <c r="C286" s="24">
        <v>44914</v>
      </c>
      <c r="D286" s="22">
        <v>1042</v>
      </c>
      <c r="E286" t="e" vm="4">
        <v>#VALUE!</v>
      </c>
    </row>
    <row r="287" spans="1:5" x14ac:dyDescent="0.35">
      <c r="A287" t="s">
        <v>371</v>
      </c>
      <c r="B287" t="s">
        <v>127</v>
      </c>
      <c r="C287" s="24">
        <v>44892</v>
      </c>
      <c r="D287" s="22">
        <v>14212</v>
      </c>
      <c r="E287" t="e" vm="2">
        <v>#VALUE!</v>
      </c>
    </row>
    <row r="288" spans="1:5" x14ac:dyDescent="0.35">
      <c r="A288" t="s">
        <v>372</v>
      </c>
      <c r="B288" t="s">
        <v>425</v>
      </c>
      <c r="C288" s="24">
        <v>44949</v>
      </c>
      <c r="D288" s="22">
        <v>15798</v>
      </c>
      <c r="E288" t="e" vm="2">
        <v>#VALUE!</v>
      </c>
    </row>
    <row r="289" spans="1:5" x14ac:dyDescent="0.35">
      <c r="A289" t="s">
        <v>373</v>
      </c>
      <c r="B289" t="s">
        <v>350</v>
      </c>
      <c r="C289" s="24">
        <v>44932</v>
      </c>
      <c r="D289" s="22">
        <v>2448</v>
      </c>
      <c r="E289" t="e" vm="6">
        <v>#VALUE!</v>
      </c>
    </row>
    <row r="290" spans="1:5" x14ac:dyDescent="0.35">
      <c r="A290" t="s">
        <v>374</v>
      </c>
      <c r="B290" t="s">
        <v>425</v>
      </c>
      <c r="C290" s="24">
        <v>44893</v>
      </c>
      <c r="D290" s="22">
        <v>2633</v>
      </c>
      <c r="E290" t="e" vm="6">
        <v>#VALUE!</v>
      </c>
    </row>
    <row r="291" spans="1:5" x14ac:dyDescent="0.35">
      <c r="A291" t="s">
        <v>375</v>
      </c>
      <c r="B291" t="s">
        <v>361</v>
      </c>
      <c r="C291" s="24">
        <v>44933</v>
      </c>
      <c r="D291" s="22">
        <v>10318</v>
      </c>
      <c r="E291" t="e" vm="4">
        <v>#VALUE!</v>
      </c>
    </row>
    <row r="292" spans="1:5" x14ac:dyDescent="0.35">
      <c r="A292" t="s">
        <v>376</v>
      </c>
      <c r="B292" t="s">
        <v>305</v>
      </c>
      <c r="C292" s="24">
        <v>44893</v>
      </c>
      <c r="D292" s="22">
        <v>7409</v>
      </c>
      <c r="E292" t="e" vm="6">
        <v>#VALUE!</v>
      </c>
    </row>
    <row r="293" spans="1:5" x14ac:dyDescent="0.35">
      <c r="A293" t="s">
        <v>377</v>
      </c>
      <c r="B293" t="s">
        <v>127</v>
      </c>
      <c r="C293" s="24">
        <v>44908</v>
      </c>
      <c r="D293" s="22">
        <v>15930</v>
      </c>
      <c r="E293" t="e" vm="2">
        <v>#VALUE!</v>
      </c>
    </row>
    <row r="294" spans="1:5" x14ac:dyDescent="0.35">
      <c r="A294" t="s">
        <v>378</v>
      </c>
      <c r="B294" t="s">
        <v>350</v>
      </c>
      <c r="C294" s="24">
        <v>44908</v>
      </c>
      <c r="D294" s="22">
        <v>12780</v>
      </c>
      <c r="E294" t="e" vm="2">
        <v>#VALUE!</v>
      </c>
    </row>
    <row r="295" spans="1:5" x14ac:dyDescent="0.35">
      <c r="A295" t="s">
        <v>379</v>
      </c>
      <c r="B295" t="s">
        <v>305</v>
      </c>
      <c r="C295" s="24">
        <v>44950</v>
      </c>
      <c r="D295" s="22">
        <v>11660</v>
      </c>
      <c r="E295" t="e" vm="2">
        <v>#VALUE!</v>
      </c>
    </row>
    <row r="296" spans="1:5" x14ac:dyDescent="0.35">
      <c r="A296" t="s">
        <v>380</v>
      </c>
      <c r="B296" t="s">
        <v>110</v>
      </c>
      <c r="C296" s="24">
        <v>44890</v>
      </c>
      <c r="D296" s="22">
        <v>7233</v>
      </c>
      <c r="E296" t="e" vm="4">
        <v>#VALUE!</v>
      </c>
    </row>
    <row r="297" spans="1:5" x14ac:dyDescent="0.35">
      <c r="A297" t="s">
        <v>381</v>
      </c>
      <c r="B297" t="s">
        <v>361</v>
      </c>
      <c r="C297" s="24">
        <v>44949</v>
      </c>
      <c r="D297" s="22">
        <v>11687</v>
      </c>
      <c r="E297" t="e" vm="4">
        <v>#VALUE!</v>
      </c>
    </row>
    <row r="298" spans="1:5" x14ac:dyDescent="0.35">
      <c r="A298" t="s">
        <v>382</v>
      </c>
      <c r="B298" t="s">
        <v>425</v>
      </c>
      <c r="C298" s="24">
        <v>44873</v>
      </c>
      <c r="D298" s="22">
        <v>11959</v>
      </c>
      <c r="E298" t="e" vm="4">
        <v>#VALUE!</v>
      </c>
    </row>
    <row r="299" spans="1:5" x14ac:dyDescent="0.35">
      <c r="A299" t="s">
        <v>383</v>
      </c>
      <c r="B299" t="s">
        <v>425</v>
      </c>
      <c r="C299" s="24">
        <v>44904</v>
      </c>
      <c r="D299" s="22">
        <v>2220</v>
      </c>
      <c r="E299" t="e" vm="2">
        <v>#VALUE!</v>
      </c>
    </row>
    <row r="300" spans="1:5" x14ac:dyDescent="0.35">
      <c r="A300" t="s">
        <v>384</v>
      </c>
      <c r="B300" t="s">
        <v>110</v>
      </c>
      <c r="C300" s="24">
        <v>44905</v>
      </c>
      <c r="D300" s="22">
        <v>14250</v>
      </c>
      <c r="E300" t="e" vm="6">
        <v>#VALUE!</v>
      </c>
    </row>
    <row r="301" spans="1:5" x14ac:dyDescent="0.35">
      <c r="A301" t="s">
        <v>385</v>
      </c>
      <c r="B301" t="s">
        <v>127</v>
      </c>
      <c r="C301" s="24">
        <v>44900</v>
      </c>
      <c r="D301" s="22">
        <v>11253</v>
      </c>
      <c r="E301" t="e" vm="4">
        <v>#VALUE!</v>
      </c>
    </row>
    <row r="302" spans="1:5" x14ac:dyDescent="0.35">
      <c r="A302" t="s">
        <v>386</v>
      </c>
      <c r="B302" t="s">
        <v>305</v>
      </c>
      <c r="C302" s="24">
        <v>44917</v>
      </c>
      <c r="D302" s="22">
        <v>3477</v>
      </c>
      <c r="E302" t="e" vm="2">
        <v>#VALUE!</v>
      </c>
    </row>
    <row r="303" spans="1:5" x14ac:dyDescent="0.35">
      <c r="A303" t="s">
        <v>387</v>
      </c>
      <c r="B303" t="s">
        <v>127</v>
      </c>
      <c r="C303" s="24">
        <v>44931</v>
      </c>
      <c r="D303" s="22">
        <v>1824</v>
      </c>
      <c r="E303" t="e" vm="2">
        <v>#VALUE!</v>
      </c>
    </row>
    <row r="304" spans="1:5" x14ac:dyDescent="0.35">
      <c r="A304" t="s">
        <v>388</v>
      </c>
      <c r="B304" t="s">
        <v>110</v>
      </c>
      <c r="C304" s="24">
        <v>44935</v>
      </c>
      <c r="D304" s="22">
        <v>19113</v>
      </c>
      <c r="E304" t="e" vm="6">
        <v>#VALUE!</v>
      </c>
    </row>
    <row r="305" spans="1:5" x14ac:dyDescent="0.35">
      <c r="A305" t="s">
        <v>389</v>
      </c>
      <c r="B305" t="s">
        <v>350</v>
      </c>
      <c r="C305" s="24">
        <v>44902</v>
      </c>
      <c r="D305" s="22">
        <v>18004</v>
      </c>
      <c r="E305" t="e" vm="4">
        <v>#VALUE!</v>
      </c>
    </row>
    <row r="306" spans="1:5" x14ac:dyDescent="0.35">
      <c r="A306" t="s">
        <v>390</v>
      </c>
      <c r="B306" t="s">
        <v>81</v>
      </c>
      <c r="C306" s="24">
        <v>44941</v>
      </c>
      <c r="D306" s="22">
        <v>4734</v>
      </c>
      <c r="E306" t="e" vm="6">
        <v>#VALUE!</v>
      </c>
    </row>
    <row r="307" spans="1:5" x14ac:dyDescent="0.35">
      <c r="A307" t="s">
        <v>391</v>
      </c>
      <c r="B307" t="s">
        <v>305</v>
      </c>
      <c r="C307" s="24">
        <v>44872</v>
      </c>
      <c r="D307" s="22">
        <v>17772</v>
      </c>
      <c r="E307" t="e" vm="4">
        <v>#VALUE!</v>
      </c>
    </row>
    <row r="308" spans="1:5" x14ac:dyDescent="0.35">
      <c r="A308" t="s">
        <v>392</v>
      </c>
      <c r="B308" t="s">
        <v>110</v>
      </c>
      <c r="C308" s="24">
        <v>44893</v>
      </c>
      <c r="D308" s="22">
        <v>13609</v>
      </c>
      <c r="E308" t="e" vm="6">
        <v>#VALUE!</v>
      </c>
    </row>
    <row r="309" spans="1:5" x14ac:dyDescent="0.35">
      <c r="A309" t="s">
        <v>393</v>
      </c>
      <c r="B309" t="s">
        <v>127</v>
      </c>
      <c r="C309" s="24">
        <v>44947</v>
      </c>
      <c r="D309" s="22">
        <v>13799</v>
      </c>
      <c r="E309" t="e" vm="6">
        <v>#VALUE!</v>
      </c>
    </row>
    <row r="310" spans="1:5" x14ac:dyDescent="0.35">
      <c r="A310" t="s">
        <v>394</v>
      </c>
      <c r="B310" t="s">
        <v>81</v>
      </c>
      <c r="C310" s="24">
        <v>44879</v>
      </c>
      <c r="D310" s="22">
        <v>19248</v>
      </c>
      <c r="E310" t="e" vm="2">
        <v>#VALUE!</v>
      </c>
    </row>
    <row r="311" spans="1:5" x14ac:dyDescent="0.35">
      <c r="A311" t="s">
        <v>395</v>
      </c>
      <c r="B311" t="s">
        <v>127</v>
      </c>
      <c r="C311" s="24">
        <v>44948</v>
      </c>
      <c r="D311" s="22">
        <v>9150</v>
      </c>
      <c r="E311" t="e" vm="6">
        <v>#VALUE!</v>
      </c>
    </row>
    <row r="312" spans="1:5" x14ac:dyDescent="0.35">
      <c r="A312" t="s">
        <v>396</v>
      </c>
      <c r="B312" t="s">
        <v>305</v>
      </c>
      <c r="C312" s="24">
        <v>44949</v>
      </c>
      <c r="D312" s="22">
        <v>15516</v>
      </c>
      <c r="E312" t="e" vm="4">
        <v>#VALUE!</v>
      </c>
    </row>
    <row r="313" spans="1:5" x14ac:dyDescent="0.35">
      <c r="A313" t="s">
        <v>397</v>
      </c>
      <c r="B313" t="s">
        <v>305</v>
      </c>
      <c r="C313" s="24">
        <v>44899</v>
      </c>
      <c r="D313" s="22">
        <v>10301</v>
      </c>
      <c r="E313" t="e" vm="6">
        <v>#VALUE!</v>
      </c>
    </row>
    <row r="314" spans="1:5" x14ac:dyDescent="0.35">
      <c r="A314" t="s">
        <v>398</v>
      </c>
      <c r="B314" t="s">
        <v>81</v>
      </c>
      <c r="C314" s="24">
        <v>44890</v>
      </c>
      <c r="D314" s="22">
        <v>2057</v>
      </c>
      <c r="E314" t="e" vm="4">
        <v>#VALUE!</v>
      </c>
    </row>
    <row r="315" spans="1:5" x14ac:dyDescent="0.35">
      <c r="A315" t="s">
        <v>399</v>
      </c>
      <c r="B315" t="s">
        <v>305</v>
      </c>
      <c r="C315" s="24">
        <v>44920</v>
      </c>
      <c r="D315" s="22">
        <v>4331</v>
      </c>
      <c r="E315" t="e" vm="6">
        <v>#VALUE!</v>
      </c>
    </row>
    <row r="316" spans="1:5" x14ac:dyDescent="0.35">
      <c r="A316" t="s">
        <v>400</v>
      </c>
      <c r="B316" t="s">
        <v>425</v>
      </c>
      <c r="C316" s="24">
        <v>44951</v>
      </c>
      <c r="D316" s="22">
        <v>14287</v>
      </c>
      <c r="E316" t="e" vm="4">
        <v>#VALUE!</v>
      </c>
    </row>
    <row r="317" spans="1:5" x14ac:dyDescent="0.35">
      <c r="A317" t="s">
        <v>401</v>
      </c>
      <c r="B317" t="s">
        <v>127</v>
      </c>
      <c r="C317" s="24">
        <v>44927</v>
      </c>
      <c r="D317" s="22">
        <v>18641</v>
      </c>
      <c r="E317" t="e" vm="6">
        <v>#VALUE!</v>
      </c>
    </row>
    <row r="318" spans="1:5" x14ac:dyDescent="0.35">
      <c r="A318" t="s">
        <v>402</v>
      </c>
      <c r="B318" t="s">
        <v>425</v>
      </c>
      <c r="C318" s="24">
        <v>44895</v>
      </c>
      <c r="D318" s="22">
        <v>6234</v>
      </c>
      <c r="E318" t="e" vm="4">
        <v>#VALUE!</v>
      </c>
    </row>
    <row r="319" spans="1:5" x14ac:dyDescent="0.35">
      <c r="A319" t="s">
        <v>403</v>
      </c>
      <c r="B319" t="s">
        <v>425</v>
      </c>
      <c r="C319" s="24">
        <v>44873</v>
      </c>
      <c r="D319" s="22">
        <v>2398</v>
      </c>
      <c r="E319" t="e" vm="6">
        <v>#VALUE!</v>
      </c>
    </row>
    <row r="320" spans="1:5" x14ac:dyDescent="0.35">
      <c r="A320" t="s">
        <v>404</v>
      </c>
      <c r="B320" t="s">
        <v>361</v>
      </c>
      <c r="C320" s="24">
        <v>44948</v>
      </c>
      <c r="D320" s="22">
        <v>12325</v>
      </c>
      <c r="E320" t="e" vm="6">
        <v>#VALUE!</v>
      </c>
    </row>
    <row r="321" spans="1:5" x14ac:dyDescent="0.35">
      <c r="A321" t="s">
        <v>405</v>
      </c>
      <c r="B321" t="s">
        <v>425</v>
      </c>
      <c r="C321" s="24">
        <v>44932</v>
      </c>
      <c r="D321" s="22">
        <v>6392</v>
      </c>
      <c r="E321" t="e" vm="6">
        <v>#VALUE!</v>
      </c>
    </row>
    <row r="322" spans="1:5" x14ac:dyDescent="0.35">
      <c r="A322" t="s">
        <v>406</v>
      </c>
      <c r="B322" t="s">
        <v>425</v>
      </c>
      <c r="C322" s="24">
        <v>44885</v>
      </c>
      <c r="D322" s="22">
        <v>9859</v>
      </c>
      <c r="E322" t="e" vm="6">
        <v>#VALUE!</v>
      </c>
    </row>
    <row r="323" spans="1:5" x14ac:dyDescent="0.35">
      <c r="A323" t="s">
        <v>407</v>
      </c>
      <c r="B323" t="s">
        <v>127</v>
      </c>
      <c r="C323" s="24">
        <v>44945</v>
      </c>
      <c r="D323" s="22">
        <v>15964</v>
      </c>
      <c r="E323" t="e" vm="2">
        <v>#VALUE!</v>
      </c>
    </row>
  </sheetData>
  <dataValidations count="1">
    <dataValidation type="list" allowBlank="1" showInputMessage="1" showErrorMessage="1" sqref="H2" xr:uid="{88860755-AA1C-496B-9E72-AF6D52C9EA17}">
      <formula1>$A$2:$A$323</formula1>
    </dataValidation>
  </dataValidations>
  <hyperlinks>
    <hyperlink ref="F1" location="'Lo que aprenderás'!A1" display="Inicio" xr:uid="{946982DA-8E83-46F0-9D97-C05681DF7EA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C165C-9090-4F10-BC93-890267CD44BF}">
  <sheetPr codeName="Hoja4"/>
  <dimension ref="A1:J323"/>
  <sheetViews>
    <sheetView zoomScale="130" zoomScaleNormal="130" workbookViewId="0">
      <selection activeCell="G1" sqref="G1"/>
    </sheetView>
  </sheetViews>
  <sheetFormatPr baseColWidth="10" defaultRowHeight="14.5" x14ac:dyDescent="0.35"/>
  <cols>
    <col min="1" max="1" width="11.54296875" bestFit="1" customWidth="1"/>
    <col min="2" max="2" width="12.1796875" bestFit="1" customWidth="1"/>
    <col min="3" max="3" width="15.7265625" bestFit="1" customWidth="1"/>
    <col min="4" max="4" width="18.26953125" bestFit="1" customWidth="1"/>
    <col min="5" max="5" width="12.26953125" bestFit="1" customWidth="1"/>
    <col min="6" max="6" width="25" bestFit="1" customWidth="1"/>
    <col min="7" max="7" width="5.81640625" bestFit="1" customWidth="1"/>
    <col min="8" max="8" width="6.26953125" customWidth="1"/>
    <col min="9" max="9" width="16.7265625" customWidth="1"/>
    <col min="10" max="10" width="21.81640625" customWidth="1"/>
  </cols>
  <sheetData>
    <row r="1" spans="1:10" ht="18.5" x14ac:dyDescent="0.45">
      <c r="A1" s="54" t="s">
        <v>55</v>
      </c>
      <c r="B1" s="54" t="s">
        <v>78</v>
      </c>
      <c r="C1" s="54" t="s">
        <v>748</v>
      </c>
      <c r="D1" s="54" t="s">
        <v>79</v>
      </c>
      <c r="E1" s="54" t="s">
        <v>408</v>
      </c>
      <c r="F1" s="54" t="s">
        <v>409</v>
      </c>
      <c r="G1" s="12" t="s">
        <v>35</v>
      </c>
      <c r="I1" t="s">
        <v>775</v>
      </c>
    </row>
    <row r="2" spans="1:10" x14ac:dyDescent="0.35">
      <c r="A2" t="s">
        <v>80</v>
      </c>
      <c r="B2" t="s">
        <v>425</v>
      </c>
      <c r="C2" t="str">
        <f>VLOOKUP(B2,$I$2:$J$9,2,FALSE)</f>
        <v>Ropa deportiva</v>
      </c>
      <c r="D2" s="24">
        <v>44903</v>
      </c>
      <c r="E2" s="22">
        <v>2294</v>
      </c>
      <c r="F2" t="e" vm="2">
        <v>#VALUE!</v>
      </c>
      <c r="I2" s="61" t="s">
        <v>78</v>
      </c>
      <c r="J2" s="61" t="s">
        <v>748</v>
      </c>
    </row>
    <row r="3" spans="1:10" x14ac:dyDescent="0.35">
      <c r="A3" t="s">
        <v>82</v>
      </c>
      <c r="B3" t="s">
        <v>127</v>
      </c>
      <c r="C3" t="str">
        <f t="shared" ref="C3:C66" si="0">VLOOKUP(B3,$I$2:$J$9,2,FALSE)</f>
        <v>Refacciones autos</v>
      </c>
      <c r="D3" s="24">
        <v>44870</v>
      </c>
      <c r="E3" s="22">
        <v>13932</v>
      </c>
      <c r="F3" t="e" vm="4">
        <v>#VALUE!</v>
      </c>
      <c r="I3" t="s">
        <v>425</v>
      </c>
      <c r="J3" t="s">
        <v>749</v>
      </c>
    </row>
    <row r="4" spans="1:10" x14ac:dyDescent="0.35">
      <c r="A4" t="s">
        <v>83</v>
      </c>
      <c r="B4" t="s">
        <v>81</v>
      </c>
      <c r="C4" t="str">
        <f t="shared" si="0"/>
        <v>Juguetería</v>
      </c>
      <c r="D4" s="24">
        <v>44937</v>
      </c>
      <c r="E4" s="22">
        <v>5277</v>
      </c>
      <c r="F4" t="e" vm="6">
        <v>#VALUE!</v>
      </c>
      <c r="I4" t="s">
        <v>127</v>
      </c>
      <c r="J4" t="s">
        <v>751</v>
      </c>
    </row>
    <row r="5" spans="1:10" x14ac:dyDescent="0.35">
      <c r="A5" t="s">
        <v>84</v>
      </c>
      <c r="B5" t="s">
        <v>350</v>
      </c>
      <c r="C5" t="str">
        <f t="shared" si="0"/>
        <v>Ropa deportiva</v>
      </c>
      <c r="D5" s="24">
        <v>44909</v>
      </c>
      <c r="E5" s="22">
        <v>16085</v>
      </c>
      <c r="F5" t="e" vm="4">
        <v>#VALUE!</v>
      </c>
      <c r="I5" t="s">
        <v>81</v>
      </c>
      <c r="J5" t="s">
        <v>750</v>
      </c>
    </row>
    <row r="6" spans="1:10" x14ac:dyDescent="0.35">
      <c r="A6" t="s">
        <v>85</v>
      </c>
      <c r="B6" t="s">
        <v>425</v>
      </c>
      <c r="C6" t="str">
        <f t="shared" si="0"/>
        <v>Ropa deportiva</v>
      </c>
      <c r="D6" s="24">
        <v>44939</v>
      </c>
      <c r="E6" s="22">
        <v>16357</v>
      </c>
      <c r="F6" t="e" vm="4">
        <v>#VALUE!</v>
      </c>
      <c r="I6" t="s">
        <v>350</v>
      </c>
      <c r="J6" t="s">
        <v>749</v>
      </c>
    </row>
    <row r="7" spans="1:10" x14ac:dyDescent="0.35">
      <c r="A7" t="s">
        <v>86</v>
      </c>
      <c r="B7" t="s">
        <v>350</v>
      </c>
      <c r="C7" t="str">
        <f t="shared" si="0"/>
        <v>Ropa deportiva</v>
      </c>
      <c r="D7" s="24">
        <v>44950</v>
      </c>
      <c r="E7" s="22">
        <v>19413</v>
      </c>
      <c r="F7" t="e" vm="6">
        <v>#VALUE!</v>
      </c>
      <c r="I7" t="s">
        <v>361</v>
      </c>
      <c r="J7" t="s">
        <v>752</v>
      </c>
    </row>
    <row r="8" spans="1:10" x14ac:dyDescent="0.35">
      <c r="A8" t="s">
        <v>87</v>
      </c>
      <c r="B8" t="s">
        <v>361</v>
      </c>
      <c r="C8" t="str">
        <f t="shared" si="0"/>
        <v>Software</v>
      </c>
      <c r="D8" s="24">
        <v>44917</v>
      </c>
      <c r="E8" s="22">
        <v>11388</v>
      </c>
      <c r="F8" t="e" vm="6">
        <v>#VALUE!</v>
      </c>
      <c r="I8" t="s">
        <v>305</v>
      </c>
      <c r="J8" t="s">
        <v>753</v>
      </c>
    </row>
    <row r="9" spans="1:10" x14ac:dyDescent="0.35">
      <c r="A9" t="s">
        <v>88</v>
      </c>
      <c r="B9" t="s">
        <v>305</v>
      </c>
      <c r="C9" t="str">
        <f t="shared" si="0"/>
        <v>Hogar</v>
      </c>
      <c r="D9" s="24">
        <v>44945</v>
      </c>
      <c r="E9" s="22">
        <v>14682</v>
      </c>
      <c r="F9" t="e" vm="6">
        <v>#VALUE!</v>
      </c>
      <c r="I9" t="s">
        <v>110</v>
      </c>
      <c r="J9" t="s">
        <v>752</v>
      </c>
    </row>
    <row r="10" spans="1:10" x14ac:dyDescent="0.35">
      <c r="A10" t="s">
        <v>89</v>
      </c>
      <c r="B10" t="s">
        <v>110</v>
      </c>
      <c r="C10" t="str">
        <f t="shared" si="0"/>
        <v>Software</v>
      </c>
      <c r="D10" s="24">
        <v>44945</v>
      </c>
      <c r="E10" s="22">
        <v>11295</v>
      </c>
      <c r="F10" t="e" vm="4">
        <v>#VALUE!</v>
      </c>
    </row>
    <row r="11" spans="1:10" x14ac:dyDescent="0.35">
      <c r="A11" t="s">
        <v>90</v>
      </c>
      <c r="B11" t="s">
        <v>425</v>
      </c>
      <c r="C11" t="str">
        <f t="shared" si="0"/>
        <v>Ropa deportiva</v>
      </c>
      <c r="D11" s="24">
        <v>44885</v>
      </c>
      <c r="E11" s="22">
        <v>12040</v>
      </c>
      <c r="F11" t="e" vm="2">
        <v>#VALUE!</v>
      </c>
    </row>
    <row r="12" spans="1:10" x14ac:dyDescent="0.35">
      <c r="A12" t="s">
        <v>91</v>
      </c>
      <c r="B12" t="s">
        <v>81</v>
      </c>
      <c r="C12" t="str">
        <f t="shared" si="0"/>
        <v>Juguetería</v>
      </c>
      <c r="D12" s="24">
        <v>44913</v>
      </c>
      <c r="E12" s="22">
        <v>8892</v>
      </c>
      <c r="F12" t="e" vm="6">
        <v>#VALUE!</v>
      </c>
    </row>
    <row r="13" spans="1:10" x14ac:dyDescent="0.35">
      <c r="A13" t="s">
        <v>92</v>
      </c>
      <c r="B13" t="s">
        <v>305</v>
      </c>
      <c r="C13" t="str">
        <f t="shared" si="0"/>
        <v>Hogar</v>
      </c>
      <c r="D13" s="24">
        <v>44908</v>
      </c>
      <c r="E13" s="22">
        <v>4172</v>
      </c>
      <c r="F13" t="e" vm="4">
        <v>#VALUE!</v>
      </c>
    </row>
    <row r="14" spans="1:10" x14ac:dyDescent="0.35">
      <c r="A14" t="s">
        <v>93</v>
      </c>
      <c r="B14" t="s">
        <v>361</v>
      </c>
      <c r="C14" t="str">
        <f t="shared" si="0"/>
        <v>Software</v>
      </c>
      <c r="D14" s="24">
        <v>44880</v>
      </c>
      <c r="E14" s="22">
        <v>14820</v>
      </c>
      <c r="F14" t="e" vm="2">
        <v>#VALUE!</v>
      </c>
    </row>
    <row r="15" spans="1:10" x14ac:dyDescent="0.35">
      <c r="A15" t="s">
        <v>94</v>
      </c>
      <c r="B15" t="s">
        <v>361</v>
      </c>
      <c r="C15" t="str">
        <f t="shared" si="0"/>
        <v>Software</v>
      </c>
      <c r="D15" s="24">
        <v>44900</v>
      </c>
      <c r="E15" s="22">
        <v>16881</v>
      </c>
      <c r="F15" t="e" vm="4">
        <v>#VALUE!</v>
      </c>
    </row>
    <row r="16" spans="1:10" x14ac:dyDescent="0.35">
      <c r="A16" t="s">
        <v>95</v>
      </c>
      <c r="B16" t="s">
        <v>305</v>
      </c>
      <c r="C16" t="str">
        <f t="shared" si="0"/>
        <v>Hogar</v>
      </c>
      <c r="D16" s="24">
        <v>44944</v>
      </c>
      <c r="E16" s="22">
        <v>2181</v>
      </c>
      <c r="F16" t="e" vm="4">
        <v>#VALUE!</v>
      </c>
    </row>
    <row r="17" spans="1:6" x14ac:dyDescent="0.35">
      <c r="A17" t="s">
        <v>96</v>
      </c>
      <c r="B17" t="s">
        <v>305</v>
      </c>
      <c r="C17" t="str">
        <f t="shared" si="0"/>
        <v>Hogar</v>
      </c>
      <c r="D17" s="24">
        <v>44925</v>
      </c>
      <c r="E17" s="22">
        <v>16813</v>
      </c>
      <c r="F17" t="e" vm="4">
        <v>#VALUE!</v>
      </c>
    </row>
    <row r="18" spans="1:6" x14ac:dyDescent="0.35">
      <c r="A18" t="s">
        <v>97</v>
      </c>
      <c r="B18" t="s">
        <v>127</v>
      </c>
      <c r="C18" t="str">
        <f t="shared" si="0"/>
        <v>Refacciones autos</v>
      </c>
      <c r="D18" s="24">
        <v>44929</v>
      </c>
      <c r="E18" s="22">
        <v>3336</v>
      </c>
      <c r="F18" t="e" vm="2">
        <v>#VALUE!</v>
      </c>
    </row>
    <row r="19" spans="1:6" x14ac:dyDescent="0.35">
      <c r="A19" t="s">
        <v>98</v>
      </c>
      <c r="B19" t="s">
        <v>361</v>
      </c>
      <c r="C19" t="str">
        <f t="shared" si="0"/>
        <v>Software</v>
      </c>
      <c r="D19" s="24">
        <v>44935</v>
      </c>
      <c r="E19" s="22">
        <v>1573</v>
      </c>
      <c r="F19" t="e" vm="2">
        <v>#VALUE!</v>
      </c>
    </row>
    <row r="20" spans="1:6" x14ac:dyDescent="0.35">
      <c r="A20" t="s">
        <v>99</v>
      </c>
      <c r="B20" t="s">
        <v>425</v>
      </c>
      <c r="C20" t="str">
        <f t="shared" si="0"/>
        <v>Ropa deportiva</v>
      </c>
      <c r="D20" s="24">
        <v>44947</v>
      </c>
      <c r="E20" s="22">
        <v>2796</v>
      </c>
      <c r="F20" t="e" vm="4">
        <v>#VALUE!</v>
      </c>
    </row>
    <row r="21" spans="1:6" x14ac:dyDescent="0.35">
      <c r="A21" t="s">
        <v>100</v>
      </c>
      <c r="B21" t="s">
        <v>110</v>
      </c>
      <c r="C21" t="str">
        <f t="shared" si="0"/>
        <v>Software</v>
      </c>
      <c r="D21" s="24">
        <v>44878</v>
      </c>
      <c r="E21" s="22">
        <v>18910</v>
      </c>
      <c r="F21" t="e" vm="4">
        <v>#VALUE!</v>
      </c>
    </row>
    <row r="22" spans="1:6" x14ac:dyDescent="0.35">
      <c r="A22" t="s">
        <v>101</v>
      </c>
      <c r="B22" t="s">
        <v>305</v>
      </c>
      <c r="C22" t="str">
        <f t="shared" si="0"/>
        <v>Hogar</v>
      </c>
      <c r="D22" s="24">
        <v>44870</v>
      </c>
      <c r="E22" s="22">
        <v>6618</v>
      </c>
      <c r="F22" t="e" vm="4">
        <v>#VALUE!</v>
      </c>
    </row>
    <row r="23" spans="1:6" x14ac:dyDescent="0.35">
      <c r="A23" t="s">
        <v>102</v>
      </c>
      <c r="B23" t="s">
        <v>425</v>
      </c>
      <c r="C23" t="str">
        <f t="shared" si="0"/>
        <v>Ropa deportiva</v>
      </c>
      <c r="D23" s="24">
        <v>44907</v>
      </c>
      <c r="E23" s="22">
        <v>6272</v>
      </c>
      <c r="F23" t="e" vm="6">
        <v>#VALUE!</v>
      </c>
    </row>
    <row r="24" spans="1:6" x14ac:dyDescent="0.35">
      <c r="A24" t="s">
        <v>103</v>
      </c>
      <c r="B24" t="s">
        <v>350</v>
      </c>
      <c r="C24" t="str">
        <f t="shared" si="0"/>
        <v>Ropa deportiva</v>
      </c>
      <c r="D24" s="24">
        <v>44896</v>
      </c>
      <c r="E24" s="22">
        <v>18100</v>
      </c>
      <c r="F24" t="e" vm="6">
        <v>#VALUE!</v>
      </c>
    </row>
    <row r="25" spans="1:6" x14ac:dyDescent="0.35">
      <c r="A25" t="s">
        <v>104</v>
      </c>
      <c r="B25" t="s">
        <v>361</v>
      </c>
      <c r="C25" t="str">
        <f t="shared" si="0"/>
        <v>Software</v>
      </c>
      <c r="D25" s="24">
        <v>44876</v>
      </c>
      <c r="E25" s="22">
        <v>14817</v>
      </c>
      <c r="F25" t="e" vm="6">
        <v>#VALUE!</v>
      </c>
    </row>
    <row r="26" spans="1:6" x14ac:dyDescent="0.35">
      <c r="A26" t="s">
        <v>105</v>
      </c>
      <c r="B26" t="s">
        <v>110</v>
      </c>
      <c r="C26" t="str">
        <f t="shared" si="0"/>
        <v>Software</v>
      </c>
      <c r="D26" s="24">
        <v>44878</v>
      </c>
      <c r="E26" s="22">
        <v>9644</v>
      </c>
      <c r="F26" t="e" vm="6">
        <v>#VALUE!</v>
      </c>
    </row>
    <row r="27" spans="1:6" x14ac:dyDescent="0.35">
      <c r="A27" t="s">
        <v>106</v>
      </c>
      <c r="B27" t="s">
        <v>305</v>
      </c>
      <c r="C27" t="str">
        <f t="shared" si="0"/>
        <v>Hogar</v>
      </c>
      <c r="D27" s="24">
        <v>44955</v>
      </c>
      <c r="E27" s="22">
        <v>1476</v>
      </c>
      <c r="F27" t="e" vm="6">
        <v>#VALUE!</v>
      </c>
    </row>
    <row r="28" spans="1:6" x14ac:dyDescent="0.35">
      <c r="A28" t="s">
        <v>107</v>
      </c>
      <c r="B28" t="s">
        <v>425</v>
      </c>
      <c r="C28" t="str">
        <f t="shared" si="0"/>
        <v>Ropa deportiva</v>
      </c>
      <c r="D28" s="24">
        <v>44953</v>
      </c>
      <c r="E28" s="22">
        <v>19430</v>
      </c>
      <c r="F28" t="e" vm="2">
        <v>#VALUE!</v>
      </c>
    </row>
    <row r="29" spans="1:6" x14ac:dyDescent="0.35">
      <c r="A29" t="s">
        <v>108</v>
      </c>
      <c r="B29" t="s">
        <v>350</v>
      </c>
      <c r="C29" t="str">
        <f t="shared" si="0"/>
        <v>Ropa deportiva</v>
      </c>
      <c r="D29" s="24">
        <v>44930</v>
      </c>
      <c r="E29" s="22">
        <v>17519</v>
      </c>
      <c r="F29" t="e" vm="4">
        <v>#VALUE!</v>
      </c>
    </row>
    <row r="30" spans="1:6" x14ac:dyDescent="0.35">
      <c r="A30" t="s">
        <v>109</v>
      </c>
      <c r="B30" t="s">
        <v>127</v>
      </c>
      <c r="C30" t="str">
        <f t="shared" si="0"/>
        <v>Refacciones autos</v>
      </c>
      <c r="D30" s="24">
        <v>44873</v>
      </c>
      <c r="E30" s="22">
        <v>5650</v>
      </c>
      <c r="F30" t="e" vm="6">
        <v>#VALUE!</v>
      </c>
    </row>
    <row r="31" spans="1:6" x14ac:dyDescent="0.35">
      <c r="A31" t="s">
        <v>111</v>
      </c>
      <c r="B31" t="s">
        <v>361</v>
      </c>
      <c r="C31" t="str">
        <f t="shared" si="0"/>
        <v>Software</v>
      </c>
      <c r="D31" s="24">
        <v>44906</v>
      </c>
      <c r="E31" s="22">
        <v>14642</v>
      </c>
      <c r="F31" t="e" vm="4">
        <v>#VALUE!</v>
      </c>
    </row>
    <row r="32" spans="1:6" x14ac:dyDescent="0.35">
      <c r="A32" t="s">
        <v>112</v>
      </c>
      <c r="B32" t="s">
        <v>361</v>
      </c>
      <c r="C32" t="str">
        <f t="shared" si="0"/>
        <v>Software</v>
      </c>
      <c r="D32" s="24">
        <v>44936</v>
      </c>
      <c r="E32" s="22">
        <v>8335</v>
      </c>
      <c r="F32" t="e" vm="4">
        <v>#VALUE!</v>
      </c>
    </row>
    <row r="33" spans="1:6" x14ac:dyDescent="0.35">
      <c r="A33" t="s">
        <v>113</v>
      </c>
      <c r="B33" t="s">
        <v>81</v>
      </c>
      <c r="C33" t="str">
        <f t="shared" si="0"/>
        <v>Juguetería</v>
      </c>
      <c r="D33" s="24">
        <v>44880</v>
      </c>
      <c r="E33" s="22">
        <v>2905</v>
      </c>
      <c r="F33" t="e" vm="4">
        <v>#VALUE!</v>
      </c>
    </row>
    <row r="34" spans="1:6" x14ac:dyDescent="0.35">
      <c r="A34" t="s">
        <v>114</v>
      </c>
      <c r="B34" t="s">
        <v>425</v>
      </c>
      <c r="C34" t="str">
        <f t="shared" si="0"/>
        <v>Ropa deportiva</v>
      </c>
      <c r="D34" s="24">
        <v>44921</v>
      </c>
      <c r="E34" s="22">
        <v>13977</v>
      </c>
      <c r="F34" t="e" vm="4">
        <v>#VALUE!</v>
      </c>
    </row>
    <row r="35" spans="1:6" x14ac:dyDescent="0.35">
      <c r="A35" t="s">
        <v>115</v>
      </c>
      <c r="B35" t="s">
        <v>361</v>
      </c>
      <c r="C35" t="str">
        <f t="shared" si="0"/>
        <v>Software</v>
      </c>
      <c r="D35" s="24">
        <v>44888</v>
      </c>
      <c r="E35" s="22">
        <v>10819</v>
      </c>
      <c r="F35" t="e" vm="4">
        <v>#VALUE!</v>
      </c>
    </row>
    <row r="36" spans="1:6" x14ac:dyDescent="0.35">
      <c r="A36" t="s">
        <v>116</v>
      </c>
      <c r="B36" t="s">
        <v>81</v>
      </c>
      <c r="C36" t="str">
        <f t="shared" si="0"/>
        <v>Juguetería</v>
      </c>
      <c r="D36" s="24">
        <v>44914</v>
      </c>
      <c r="E36" s="22">
        <v>14226</v>
      </c>
      <c r="F36" t="e" vm="6">
        <v>#VALUE!</v>
      </c>
    </row>
    <row r="37" spans="1:6" x14ac:dyDescent="0.35">
      <c r="A37" t="s">
        <v>117</v>
      </c>
      <c r="B37" t="s">
        <v>361</v>
      </c>
      <c r="C37" t="str">
        <f t="shared" si="0"/>
        <v>Software</v>
      </c>
      <c r="D37" s="24">
        <v>44939</v>
      </c>
      <c r="E37" s="22">
        <v>14054</v>
      </c>
      <c r="F37" t="e" vm="2">
        <v>#VALUE!</v>
      </c>
    </row>
    <row r="38" spans="1:6" x14ac:dyDescent="0.35">
      <c r="A38" t="s">
        <v>118</v>
      </c>
      <c r="B38" t="s">
        <v>127</v>
      </c>
      <c r="C38" t="str">
        <f t="shared" si="0"/>
        <v>Refacciones autos</v>
      </c>
      <c r="D38" s="24">
        <v>44938</v>
      </c>
      <c r="E38" s="22">
        <v>14015</v>
      </c>
      <c r="F38" t="e" vm="4">
        <v>#VALUE!</v>
      </c>
    </row>
    <row r="39" spans="1:6" x14ac:dyDescent="0.35">
      <c r="A39" t="s">
        <v>119</v>
      </c>
      <c r="B39" t="s">
        <v>81</v>
      </c>
      <c r="C39" t="str">
        <f t="shared" si="0"/>
        <v>Juguetería</v>
      </c>
      <c r="D39" s="24">
        <v>44943</v>
      </c>
      <c r="E39" s="22">
        <v>13645</v>
      </c>
      <c r="F39" t="e" vm="2">
        <v>#VALUE!</v>
      </c>
    </row>
    <row r="40" spans="1:6" x14ac:dyDescent="0.35">
      <c r="A40" t="s">
        <v>120</v>
      </c>
      <c r="B40" t="s">
        <v>425</v>
      </c>
      <c r="C40" t="str">
        <f t="shared" si="0"/>
        <v>Ropa deportiva</v>
      </c>
      <c r="D40" s="24">
        <v>44937</v>
      </c>
      <c r="E40" s="22">
        <v>14017</v>
      </c>
      <c r="F40" t="e" vm="6">
        <v>#VALUE!</v>
      </c>
    </row>
    <row r="41" spans="1:6" x14ac:dyDescent="0.35">
      <c r="A41" t="s">
        <v>121</v>
      </c>
      <c r="B41" t="s">
        <v>425</v>
      </c>
      <c r="C41" t="str">
        <f t="shared" si="0"/>
        <v>Ropa deportiva</v>
      </c>
      <c r="D41" s="24">
        <v>44905</v>
      </c>
      <c r="E41" s="22">
        <v>3229</v>
      </c>
      <c r="F41" t="e" vm="2">
        <v>#VALUE!</v>
      </c>
    </row>
    <row r="42" spans="1:6" x14ac:dyDescent="0.35">
      <c r="A42" t="s">
        <v>122</v>
      </c>
      <c r="B42" t="s">
        <v>305</v>
      </c>
      <c r="C42" t="str">
        <f t="shared" si="0"/>
        <v>Hogar</v>
      </c>
      <c r="D42" s="24">
        <v>44897</v>
      </c>
      <c r="E42" s="22">
        <v>13654</v>
      </c>
      <c r="F42" t="e" vm="2">
        <v>#VALUE!</v>
      </c>
    </row>
    <row r="43" spans="1:6" x14ac:dyDescent="0.35">
      <c r="A43" t="s">
        <v>123</v>
      </c>
      <c r="B43" t="s">
        <v>350</v>
      </c>
      <c r="C43" t="str">
        <f t="shared" si="0"/>
        <v>Ropa deportiva</v>
      </c>
      <c r="D43" s="24">
        <v>44887</v>
      </c>
      <c r="E43" s="22">
        <v>15893</v>
      </c>
      <c r="F43" t="e" vm="2">
        <v>#VALUE!</v>
      </c>
    </row>
    <row r="44" spans="1:6" x14ac:dyDescent="0.35">
      <c r="A44" t="s">
        <v>124</v>
      </c>
      <c r="B44" t="s">
        <v>127</v>
      </c>
      <c r="C44" t="str">
        <f t="shared" si="0"/>
        <v>Refacciones autos</v>
      </c>
      <c r="D44" s="24">
        <v>44875</v>
      </c>
      <c r="E44" s="22">
        <v>7333</v>
      </c>
      <c r="F44" t="e" vm="6">
        <v>#VALUE!</v>
      </c>
    </row>
    <row r="45" spans="1:6" x14ac:dyDescent="0.35">
      <c r="A45" t="s">
        <v>125</v>
      </c>
      <c r="B45" t="s">
        <v>361</v>
      </c>
      <c r="C45" t="str">
        <f t="shared" si="0"/>
        <v>Software</v>
      </c>
      <c r="D45" s="24">
        <v>44867</v>
      </c>
      <c r="E45" s="22">
        <v>5222</v>
      </c>
      <c r="F45" t="e" vm="2">
        <v>#VALUE!</v>
      </c>
    </row>
    <row r="46" spans="1:6" x14ac:dyDescent="0.35">
      <c r="A46" t="s">
        <v>126</v>
      </c>
      <c r="B46" t="s">
        <v>127</v>
      </c>
      <c r="C46" t="str">
        <f t="shared" si="0"/>
        <v>Refacciones autos</v>
      </c>
      <c r="D46" s="24">
        <v>44936</v>
      </c>
      <c r="E46" s="22">
        <v>9372</v>
      </c>
      <c r="F46" t="e" vm="2">
        <v>#VALUE!</v>
      </c>
    </row>
    <row r="47" spans="1:6" x14ac:dyDescent="0.35">
      <c r="A47" t="s">
        <v>128</v>
      </c>
      <c r="B47" t="s">
        <v>350</v>
      </c>
      <c r="C47" t="str">
        <f t="shared" si="0"/>
        <v>Ropa deportiva</v>
      </c>
      <c r="D47" s="24">
        <v>44940</v>
      </c>
      <c r="E47" s="22">
        <v>10322</v>
      </c>
      <c r="F47" t="e" vm="6">
        <v>#VALUE!</v>
      </c>
    </row>
    <row r="48" spans="1:6" x14ac:dyDescent="0.35">
      <c r="A48" t="s">
        <v>129</v>
      </c>
      <c r="B48" t="s">
        <v>81</v>
      </c>
      <c r="C48" t="str">
        <f t="shared" si="0"/>
        <v>Juguetería</v>
      </c>
      <c r="D48" s="24">
        <v>44902</v>
      </c>
      <c r="E48" s="22">
        <v>11382</v>
      </c>
      <c r="F48" t="e" vm="6">
        <v>#VALUE!</v>
      </c>
    </row>
    <row r="49" spans="1:6" x14ac:dyDescent="0.35">
      <c r="A49" t="s">
        <v>130</v>
      </c>
      <c r="B49" t="s">
        <v>110</v>
      </c>
      <c r="C49" t="str">
        <f t="shared" si="0"/>
        <v>Software</v>
      </c>
      <c r="D49" s="24">
        <v>44933</v>
      </c>
      <c r="E49" s="22">
        <v>12591</v>
      </c>
      <c r="F49" t="e" vm="4">
        <v>#VALUE!</v>
      </c>
    </row>
    <row r="50" spans="1:6" x14ac:dyDescent="0.35">
      <c r="A50" t="s">
        <v>131</v>
      </c>
      <c r="B50" t="s">
        <v>110</v>
      </c>
      <c r="C50" t="str">
        <f t="shared" si="0"/>
        <v>Software</v>
      </c>
      <c r="D50" s="24">
        <v>44930</v>
      </c>
      <c r="E50" s="22">
        <v>9882</v>
      </c>
      <c r="F50" t="e" vm="4">
        <v>#VALUE!</v>
      </c>
    </row>
    <row r="51" spans="1:6" x14ac:dyDescent="0.35">
      <c r="A51" t="s">
        <v>132</v>
      </c>
      <c r="B51" t="s">
        <v>350</v>
      </c>
      <c r="C51" t="str">
        <f t="shared" si="0"/>
        <v>Ropa deportiva</v>
      </c>
      <c r="D51" s="24">
        <v>44882</v>
      </c>
      <c r="E51" s="22">
        <v>7292</v>
      </c>
      <c r="F51" t="e" vm="6">
        <v>#VALUE!</v>
      </c>
    </row>
    <row r="52" spans="1:6" x14ac:dyDescent="0.35">
      <c r="A52" t="s">
        <v>133</v>
      </c>
      <c r="B52" t="s">
        <v>110</v>
      </c>
      <c r="C52" t="str">
        <f t="shared" si="0"/>
        <v>Software</v>
      </c>
      <c r="D52" s="24">
        <v>44889</v>
      </c>
      <c r="E52" s="22">
        <v>4172</v>
      </c>
      <c r="F52" t="e" vm="6">
        <v>#VALUE!</v>
      </c>
    </row>
    <row r="53" spans="1:6" x14ac:dyDescent="0.35">
      <c r="A53" t="s">
        <v>134</v>
      </c>
      <c r="B53" t="s">
        <v>350</v>
      </c>
      <c r="C53" t="str">
        <f t="shared" si="0"/>
        <v>Ropa deportiva</v>
      </c>
      <c r="D53" s="24">
        <v>44895</v>
      </c>
      <c r="E53" s="22">
        <v>2943</v>
      </c>
      <c r="F53" t="e" vm="2">
        <v>#VALUE!</v>
      </c>
    </row>
    <row r="54" spans="1:6" x14ac:dyDescent="0.35">
      <c r="A54" t="s">
        <v>135</v>
      </c>
      <c r="B54" t="s">
        <v>127</v>
      </c>
      <c r="C54" t="str">
        <f t="shared" si="0"/>
        <v>Refacciones autos</v>
      </c>
      <c r="D54" s="24">
        <v>44948</v>
      </c>
      <c r="E54" s="22">
        <v>13460</v>
      </c>
      <c r="F54" t="e" vm="6">
        <v>#VALUE!</v>
      </c>
    </row>
    <row r="55" spans="1:6" x14ac:dyDescent="0.35">
      <c r="A55" t="s">
        <v>136</v>
      </c>
      <c r="B55" t="s">
        <v>305</v>
      </c>
      <c r="C55" t="str">
        <f t="shared" si="0"/>
        <v>Hogar</v>
      </c>
      <c r="D55" s="24">
        <v>44912</v>
      </c>
      <c r="E55" s="22">
        <v>16662</v>
      </c>
      <c r="F55" t="e" vm="6">
        <v>#VALUE!</v>
      </c>
    </row>
    <row r="56" spans="1:6" x14ac:dyDescent="0.35">
      <c r="A56" t="s">
        <v>137</v>
      </c>
      <c r="B56" t="s">
        <v>350</v>
      </c>
      <c r="C56" t="str">
        <f t="shared" si="0"/>
        <v>Ropa deportiva</v>
      </c>
      <c r="D56" s="24">
        <v>44895</v>
      </c>
      <c r="E56" s="22">
        <v>2665</v>
      </c>
      <c r="F56" t="e" vm="4">
        <v>#VALUE!</v>
      </c>
    </row>
    <row r="57" spans="1:6" x14ac:dyDescent="0.35">
      <c r="A57" t="s">
        <v>138</v>
      </c>
      <c r="B57" t="s">
        <v>81</v>
      </c>
      <c r="C57" t="str">
        <f t="shared" si="0"/>
        <v>Juguetería</v>
      </c>
      <c r="D57" s="24">
        <v>44877</v>
      </c>
      <c r="E57" s="22">
        <v>5027</v>
      </c>
      <c r="F57" t="e" vm="2">
        <v>#VALUE!</v>
      </c>
    </row>
    <row r="58" spans="1:6" x14ac:dyDescent="0.35">
      <c r="A58" t="s">
        <v>139</v>
      </c>
      <c r="B58" t="s">
        <v>305</v>
      </c>
      <c r="C58" t="str">
        <f t="shared" si="0"/>
        <v>Hogar</v>
      </c>
      <c r="D58" s="24">
        <v>44940</v>
      </c>
      <c r="E58" s="22">
        <v>5438</v>
      </c>
      <c r="F58" t="e" vm="2">
        <v>#VALUE!</v>
      </c>
    </row>
    <row r="59" spans="1:6" x14ac:dyDescent="0.35">
      <c r="A59" t="s">
        <v>140</v>
      </c>
      <c r="B59" t="s">
        <v>361</v>
      </c>
      <c r="C59" t="str">
        <f t="shared" si="0"/>
        <v>Software</v>
      </c>
      <c r="D59" s="24">
        <v>44870</v>
      </c>
      <c r="E59" s="22">
        <v>1373</v>
      </c>
      <c r="F59" t="e" vm="6">
        <v>#VALUE!</v>
      </c>
    </row>
    <row r="60" spans="1:6" x14ac:dyDescent="0.35">
      <c r="A60" t="s">
        <v>141</v>
      </c>
      <c r="B60" t="s">
        <v>350</v>
      </c>
      <c r="C60" t="str">
        <f t="shared" si="0"/>
        <v>Ropa deportiva</v>
      </c>
      <c r="D60" s="24">
        <v>44956</v>
      </c>
      <c r="E60" s="22">
        <v>12687</v>
      </c>
      <c r="F60" t="e" vm="2">
        <v>#VALUE!</v>
      </c>
    </row>
    <row r="61" spans="1:6" x14ac:dyDescent="0.35">
      <c r="A61" t="s">
        <v>142</v>
      </c>
      <c r="B61" t="s">
        <v>110</v>
      </c>
      <c r="C61" t="str">
        <f t="shared" si="0"/>
        <v>Software</v>
      </c>
      <c r="D61" s="24">
        <v>44872</v>
      </c>
      <c r="E61" s="22">
        <v>8356</v>
      </c>
      <c r="F61" t="e" vm="4">
        <v>#VALUE!</v>
      </c>
    </row>
    <row r="62" spans="1:6" x14ac:dyDescent="0.35">
      <c r="A62" t="s">
        <v>143</v>
      </c>
      <c r="B62" t="s">
        <v>110</v>
      </c>
      <c r="C62" t="str">
        <f t="shared" si="0"/>
        <v>Software</v>
      </c>
      <c r="D62" s="24">
        <v>44887</v>
      </c>
      <c r="E62" s="22">
        <v>19525</v>
      </c>
      <c r="F62" t="e" vm="6">
        <v>#VALUE!</v>
      </c>
    </row>
    <row r="63" spans="1:6" x14ac:dyDescent="0.35">
      <c r="A63" t="s">
        <v>144</v>
      </c>
      <c r="B63" t="s">
        <v>81</v>
      </c>
      <c r="C63" t="str">
        <f t="shared" si="0"/>
        <v>Juguetería</v>
      </c>
      <c r="D63" s="24">
        <v>44950</v>
      </c>
      <c r="E63" s="22">
        <v>6406</v>
      </c>
      <c r="F63" t="e" vm="4">
        <v>#VALUE!</v>
      </c>
    </row>
    <row r="64" spans="1:6" x14ac:dyDescent="0.35">
      <c r="A64" t="s">
        <v>145</v>
      </c>
      <c r="B64" t="s">
        <v>305</v>
      </c>
      <c r="C64" t="str">
        <f t="shared" si="0"/>
        <v>Hogar</v>
      </c>
      <c r="D64" s="24">
        <v>44875</v>
      </c>
      <c r="E64" s="22">
        <v>15977</v>
      </c>
      <c r="F64" t="e" vm="4">
        <v>#VALUE!</v>
      </c>
    </row>
    <row r="65" spans="1:6" x14ac:dyDescent="0.35">
      <c r="A65" t="s">
        <v>146</v>
      </c>
      <c r="B65" t="s">
        <v>425</v>
      </c>
      <c r="C65" t="str">
        <f t="shared" si="0"/>
        <v>Ropa deportiva</v>
      </c>
      <c r="D65" s="24">
        <v>44883</v>
      </c>
      <c r="E65" s="22">
        <v>3228</v>
      </c>
      <c r="F65" t="e" vm="2">
        <v>#VALUE!</v>
      </c>
    </row>
    <row r="66" spans="1:6" x14ac:dyDescent="0.35">
      <c r="A66" t="s">
        <v>147</v>
      </c>
      <c r="B66" t="s">
        <v>350</v>
      </c>
      <c r="C66" t="str">
        <f t="shared" si="0"/>
        <v>Ropa deportiva</v>
      </c>
      <c r="D66" s="24">
        <v>44869</v>
      </c>
      <c r="E66" s="22">
        <v>11606</v>
      </c>
      <c r="F66" t="e" vm="4">
        <v>#VALUE!</v>
      </c>
    </row>
    <row r="67" spans="1:6" x14ac:dyDescent="0.35">
      <c r="A67" t="s">
        <v>148</v>
      </c>
      <c r="B67" t="s">
        <v>127</v>
      </c>
      <c r="C67" t="str">
        <f t="shared" ref="C67:C130" si="1">VLOOKUP(B67,$I$2:$J$9,2,FALSE)</f>
        <v>Refacciones autos</v>
      </c>
      <c r="D67" s="24">
        <v>44951</v>
      </c>
      <c r="E67" s="22">
        <v>1421</v>
      </c>
      <c r="F67" t="e" vm="6">
        <v>#VALUE!</v>
      </c>
    </row>
    <row r="68" spans="1:6" x14ac:dyDescent="0.35">
      <c r="A68" t="s">
        <v>149</v>
      </c>
      <c r="B68" t="s">
        <v>305</v>
      </c>
      <c r="C68" t="str">
        <f t="shared" si="1"/>
        <v>Hogar</v>
      </c>
      <c r="D68" s="24">
        <v>44879</v>
      </c>
      <c r="E68" s="22">
        <v>13641</v>
      </c>
      <c r="F68" t="e" vm="2">
        <v>#VALUE!</v>
      </c>
    </row>
    <row r="69" spans="1:6" x14ac:dyDescent="0.35">
      <c r="A69" t="s">
        <v>150</v>
      </c>
      <c r="B69" t="s">
        <v>361</v>
      </c>
      <c r="C69" t="str">
        <f t="shared" si="1"/>
        <v>Software</v>
      </c>
      <c r="D69" s="24">
        <v>44891</v>
      </c>
      <c r="E69" s="22">
        <v>4206</v>
      </c>
      <c r="F69" t="e" vm="2">
        <v>#VALUE!</v>
      </c>
    </row>
    <row r="70" spans="1:6" x14ac:dyDescent="0.35">
      <c r="A70" t="s">
        <v>151</v>
      </c>
      <c r="B70" t="s">
        <v>110</v>
      </c>
      <c r="C70" t="str">
        <f t="shared" si="1"/>
        <v>Software</v>
      </c>
      <c r="D70" s="24">
        <v>44897</v>
      </c>
      <c r="E70" s="22">
        <v>8916</v>
      </c>
      <c r="F70" t="e" vm="6">
        <v>#VALUE!</v>
      </c>
    </row>
    <row r="71" spans="1:6" x14ac:dyDescent="0.35">
      <c r="A71" t="s">
        <v>152</v>
      </c>
      <c r="B71" t="s">
        <v>110</v>
      </c>
      <c r="C71" t="str">
        <f t="shared" si="1"/>
        <v>Software</v>
      </c>
      <c r="D71" s="24">
        <v>44902</v>
      </c>
      <c r="E71" s="22">
        <v>10734</v>
      </c>
      <c r="F71" t="e" vm="2">
        <v>#VALUE!</v>
      </c>
    </row>
    <row r="72" spans="1:6" x14ac:dyDescent="0.35">
      <c r="A72" t="s">
        <v>153</v>
      </c>
      <c r="B72" t="s">
        <v>110</v>
      </c>
      <c r="C72" t="str">
        <f t="shared" si="1"/>
        <v>Software</v>
      </c>
      <c r="D72" s="24">
        <v>44934</v>
      </c>
      <c r="E72" s="22">
        <v>6795</v>
      </c>
      <c r="F72" t="e" vm="2">
        <v>#VALUE!</v>
      </c>
    </row>
    <row r="73" spans="1:6" x14ac:dyDescent="0.35">
      <c r="A73" t="s">
        <v>154</v>
      </c>
      <c r="B73" t="s">
        <v>127</v>
      </c>
      <c r="C73" t="str">
        <f t="shared" si="1"/>
        <v>Refacciones autos</v>
      </c>
      <c r="D73" s="24">
        <v>44867</v>
      </c>
      <c r="E73" s="22">
        <v>15614</v>
      </c>
      <c r="F73" t="e" vm="4">
        <v>#VALUE!</v>
      </c>
    </row>
    <row r="74" spans="1:6" x14ac:dyDescent="0.35">
      <c r="A74" t="s">
        <v>155</v>
      </c>
      <c r="B74" t="s">
        <v>305</v>
      </c>
      <c r="C74" t="str">
        <f t="shared" si="1"/>
        <v>Hogar</v>
      </c>
      <c r="D74" s="24">
        <v>44915</v>
      </c>
      <c r="E74" s="22">
        <v>1017</v>
      </c>
      <c r="F74" t="e" vm="4">
        <v>#VALUE!</v>
      </c>
    </row>
    <row r="75" spans="1:6" x14ac:dyDescent="0.35">
      <c r="A75" t="s">
        <v>156</v>
      </c>
      <c r="B75" t="s">
        <v>425</v>
      </c>
      <c r="C75" t="str">
        <f t="shared" si="1"/>
        <v>Ropa deportiva</v>
      </c>
      <c r="D75" s="24">
        <v>44909</v>
      </c>
      <c r="E75" s="22">
        <v>17339</v>
      </c>
      <c r="F75" t="e" vm="4">
        <v>#VALUE!</v>
      </c>
    </row>
    <row r="76" spans="1:6" x14ac:dyDescent="0.35">
      <c r="A76" t="s">
        <v>157</v>
      </c>
      <c r="B76" t="s">
        <v>110</v>
      </c>
      <c r="C76" t="str">
        <f t="shared" si="1"/>
        <v>Software</v>
      </c>
      <c r="D76" s="24">
        <v>44909</v>
      </c>
      <c r="E76" s="22">
        <v>17939</v>
      </c>
      <c r="F76" t="e" vm="4">
        <v>#VALUE!</v>
      </c>
    </row>
    <row r="77" spans="1:6" x14ac:dyDescent="0.35">
      <c r="A77" t="s">
        <v>158</v>
      </c>
      <c r="B77" t="s">
        <v>127</v>
      </c>
      <c r="C77" t="str">
        <f t="shared" si="1"/>
        <v>Refacciones autos</v>
      </c>
      <c r="D77" s="24">
        <v>44911</v>
      </c>
      <c r="E77" s="22">
        <v>4292</v>
      </c>
      <c r="F77" t="e" vm="2">
        <v>#VALUE!</v>
      </c>
    </row>
    <row r="78" spans="1:6" x14ac:dyDescent="0.35">
      <c r="A78" t="s">
        <v>159</v>
      </c>
      <c r="B78" t="s">
        <v>425</v>
      </c>
      <c r="C78" t="str">
        <f t="shared" si="1"/>
        <v>Ropa deportiva</v>
      </c>
      <c r="D78" s="24">
        <v>44875</v>
      </c>
      <c r="E78" s="22">
        <v>8975</v>
      </c>
      <c r="F78" t="e" vm="2">
        <v>#VALUE!</v>
      </c>
    </row>
    <row r="79" spans="1:6" x14ac:dyDescent="0.35">
      <c r="A79" t="s">
        <v>160</v>
      </c>
      <c r="B79" t="s">
        <v>425</v>
      </c>
      <c r="C79" t="str">
        <f t="shared" si="1"/>
        <v>Ropa deportiva</v>
      </c>
      <c r="D79" s="24">
        <v>44884</v>
      </c>
      <c r="E79" s="22">
        <v>18397</v>
      </c>
      <c r="F79" t="e" vm="4">
        <v>#VALUE!</v>
      </c>
    </row>
    <row r="80" spans="1:6" x14ac:dyDescent="0.35">
      <c r="A80" t="s">
        <v>161</v>
      </c>
      <c r="B80" t="s">
        <v>127</v>
      </c>
      <c r="C80" t="str">
        <f t="shared" si="1"/>
        <v>Refacciones autos</v>
      </c>
      <c r="D80" s="24">
        <v>44872</v>
      </c>
      <c r="E80" s="22">
        <v>16951</v>
      </c>
      <c r="F80" t="e" vm="6">
        <v>#VALUE!</v>
      </c>
    </row>
    <row r="81" spans="1:6" x14ac:dyDescent="0.35">
      <c r="A81" t="s">
        <v>162</v>
      </c>
      <c r="B81" t="s">
        <v>350</v>
      </c>
      <c r="C81" t="str">
        <f t="shared" si="1"/>
        <v>Ropa deportiva</v>
      </c>
      <c r="D81" s="24">
        <v>44944</v>
      </c>
      <c r="E81" s="22">
        <v>9083</v>
      </c>
      <c r="F81" t="e" vm="6">
        <v>#VALUE!</v>
      </c>
    </row>
    <row r="82" spans="1:6" x14ac:dyDescent="0.35">
      <c r="A82" t="s">
        <v>163</v>
      </c>
      <c r="B82" t="s">
        <v>110</v>
      </c>
      <c r="C82" t="str">
        <f t="shared" si="1"/>
        <v>Software</v>
      </c>
      <c r="D82" s="24">
        <v>44922</v>
      </c>
      <c r="E82" s="22">
        <v>2891</v>
      </c>
      <c r="F82" t="e" vm="6">
        <v>#VALUE!</v>
      </c>
    </row>
    <row r="83" spans="1:6" x14ac:dyDescent="0.35">
      <c r="A83" t="s">
        <v>164</v>
      </c>
      <c r="B83" t="s">
        <v>81</v>
      </c>
      <c r="C83" t="str">
        <f t="shared" si="1"/>
        <v>Juguetería</v>
      </c>
      <c r="D83" s="24">
        <v>44935</v>
      </c>
      <c r="E83" s="22">
        <v>3912</v>
      </c>
      <c r="F83" t="e" vm="4">
        <v>#VALUE!</v>
      </c>
    </row>
    <row r="84" spans="1:6" x14ac:dyDescent="0.35">
      <c r="A84" t="s">
        <v>165</v>
      </c>
      <c r="B84" t="s">
        <v>350</v>
      </c>
      <c r="C84" t="str">
        <f t="shared" si="1"/>
        <v>Ropa deportiva</v>
      </c>
      <c r="D84" s="24">
        <v>44866</v>
      </c>
      <c r="E84" s="22">
        <v>16032</v>
      </c>
      <c r="F84" t="e" vm="2">
        <v>#VALUE!</v>
      </c>
    </row>
    <row r="85" spans="1:6" x14ac:dyDescent="0.35">
      <c r="A85" t="s">
        <v>166</v>
      </c>
      <c r="B85" t="s">
        <v>127</v>
      </c>
      <c r="C85" t="str">
        <f t="shared" si="1"/>
        <v>Refacciones autos</v>
      </c>
      <c r="D85" s="24">
        <v>44910</v>
      </c>
      <c r="E85" s="22">
        <v>9773</v>
      </c>
      <c r="F85" t="e" vm="2">
        <v>#VALUE!</v>
      </c>
    </row>
    <row r="86" spans="1:6" x14ac:dyDescent="0.35">
      <c r="A86" t="s">
        <v>167</v>
      </c>
      <c r="B86" t="s">
        <v>361</v>
      </c>
      <c r="C86" t="str">
        <f t="shared" si="1"/>
        <v>Software</v>
      </c>
      <c r="D86" s="24">
        <v>44868</v>
      </c>
      <c r="E86" s="22">
        <v>12734</v>
      </c>
      <c r="F86" t="e" vm="4">
        <v>#VALUE!</v>
      </c>
    </row>
    <row r="87" spans="1:6" x14ac:dyDescent="0.35">
      <c r="A87" t="s">
        <v>168</v>
      </c>
      <c r="B87" t="s">
        <v>425</v>
      </c>
      <c r="C87" t="str">
        <f t="shared" si="1"/>
        <v>Ropa deportiva</v>
      </c>
      <c r="D87" s="24">
        <v>44931</v>
      </c>
      <c r="E87" s="22">
        <v>5561</v>
      </c>
      <c r="F87" t="e" vm="2">
        <v>#VALUE!</v>
      </c>
    </row>
    <row r="88" spans="1:6" x14ac:dyDescent="0.35">
      <c r="A88" t="s">
        <v>169</v>
      </c>
      <c r="B88" t="s">
        <v>305</v>
      </c>
      <c r="C88" t="str">
        <f t="shared" si="1"/>
        <v>Hogar</v>
      </c>
      <c r="D88" s="24">
        <v>44945</v>
      </c>
      <c r="E88" s="22">
        <v>3590</v>
      </c>
      <c r="F88" t="e" vm="6">
        <v>#VALUE!</v>
      </c>
    </row>
    <row r="89" spans="1:6" x14ac:dyDescent="0.35">
      <c r="A89" t="s">
        <v>170</v>
      </c>
      <c r="B89" t="s">
        <v>305</v>
      </c>
      <c r="C89" t="str">
        <f t="shared" si="1"/>
        <v>Hogar</v>
      </c>
      <c r="D89" s="24">
        <v>44925</v>
      </c>
      <c r="E89" s="22">
        <v>13155</v>
      </c>
      <c r="F89" t="e" vm="4">
        <v>#VALUE!</v>
      </c>
    </row>
    <row r="90" spans="1:6" x14ac:dyDescent="0.35">
      <c r="A90" t="s">
        <v>171</v>
      </c>
      <c r="B90" t="s">
        <v>110</v>
      </c>
      <c r="C90" t="str">
        <f t="shared" si="1"/>
        <v>Software</v>
      </c>
      <c r="D90" s="24">
        <v>44917</v>
      </c>
      <c r="E90" s="22">
        <v>18016</v>
      </c>
      <c r="F90" t="e" vm="4">
        <v>#VALUE!</v>
      </c>
    </row>
    <row r="91" spans="1:6" x14ac:dyDescent="0.35">
      <c r="A91" t="s">
        <v>172</v>
      </c>
      <c r="B91" t="s">
        <v>350</v>
      </c>
      <c r="C91" t="str">
        <f t="shared" si="1"/>
        <v>Ropa deportiva</v>
      </c>
      <c r="D91" s="24">
        <v>44903</v>
      </c>
      <c r="E91" s="22">
        <v>19192</v>
      </c>
      <c r="F91" t="e" vm="2">
        <v>#VALUE!</v>
      </c>
    </row>
    <row r="92" spans="1:6" x14ac:dyDescent="0.35">
      <c r="A92" t="s">
        <v>173</v>
      </c>
      <c r="B92" t="s">
        <v>425</v>
      </c>
      <c r="C92" t="str">
        <f t="shared" si="1"/>
        <v>Ropa deportiva</v>
      </c>
      <c r="D92" s="24">
        <v>44868</v>
      </c>
      <c r="E92" s="22">
        <v>16909</v>
      </c>
      <c r="F92" t="e" vm="2">
        <v>#VALUE!</v>
      </c>
    </row>
    <row r="93" spans="1:6" x14ac:dyDescent="0.35">
      <c r="A93" t="s">
        <v>174</v>
      </c>
      <c r="B93" t="s">
        <v>361</v>
      </c>
      <c r="C93" t="str">
        <f t="shared" si="1"/>
        <v>Software</v>
      </c>
      <c r="D93" s="24">
        <v>44932</v>
      </c>
      <c r="E93" s="22">
        <v>14028</v>
      </c>
      <c r="F93" t="e" vm="6">
        <v>#VALUE!</v>
      </c>
    </row>
    <row r="94" spans="1:6" x14ac:dyDescent="0.35">
      <c r="A94" t="s">
        <v>175</v>
      </c>
      <c r="B94" t="s">
        <v>361</v>
      </c>
      <c r="C94" t="str">
        <f t="shared" si="1"/>
        <v>Software</v>
      </c>
      <c r="D94" s="24">
        <v>44909</v>
      </c>
      <c r="E94" s="22">
        <v>6054</v>
      </c>
      <c r="F94" t="e" vm="6">
        <v>#VALUE!</v>
      </c>
    </row>
    <row r="95" spans="1:6" x14ac:dyDescent="0.35">
      <c r="A95" t="s">
        <v>176</v>
      </c>
      <c r="B95" t="s">
        <v>361</v>
      </c>
      <c r="C95" t="str">
        <f t="shared" si="1"/>
        <v>Software</v>
      </c>
      <c r="D95" s="24">
        <v>44951</v>
      </c>
      <c r="E95" s="22">
        <v>15417</v>
      </c>
      <c r="F95" t="e" vm="4">
        <v>#VALUE!</v>
      </c>
    </row>
    <row r="96" spans="1:6" x14ac:dyDescent="0.35">
      <c r="A96" t="s">
        <v>177</v>
      </c>
      <c r="B96" t="s">
        <v>361</v>
      </c>
      <c r="C96" t="str">
        <f t="shared" si="1"/>
        <v>Software</v>
      </c>
      <c r="D96" s="24">
        <v>44877</v>
      </c>
      <c r="E96" s="22">
        <v>5773</v>
      </c>
      <c r="F96" t="e" vm="4">
        <v>#VALUE!</v>
      </c>
    </row>
    <row r="97" spans="1:6" x14ac:dyDescent="0.35">
      <c r="A97" t="s">
        <v>178</v>
      </c>
      <c r="B97" t="s">
        <v>361</v>
      </c>
      <c r="C97" t="str">
        <f t="shared" si="1"/>
        <v>Software</v>
      </c>
      <c r="D97" s="24">
        <v>44930</v>
      </c>
      <c r="E97" s="22">
        <v>6192</v>
      </c>
      <c r="F97" t="e" vm="2">
        <v>#VALUE!</v>
      </c>
    </row>
    <row r="98" spans="1:6" x14ac:dyDescent="0.35">
      <c r="A98" t="s">
        <v>179</v>
      </c>
      <c r="B98" t="s">
        <v>81</v>
      </c>
      <c r="C98" t="str">
        <f t="shared" si="1"/>
        <v>Juguetería</v>
      </c>
      <c r="D98" s="24">
        <v>44927</v>
      </c>
      <c r="E98" s="22">
        <v>10880</v>
      </c>
      <c r="F98" t="e" vm="4">
        <v>#VALUE!</v>
      </c>
    </row>
    <row r="99" spans="1:6" x14ac:dyDescent="0.35">
      <c r="A99" t="s">
        <v>180</v>
      </c>
      <c r="B99" t="s">
        <v>361</v>
      </c>
      <c r="C99" t="str">
        <f t="shared" si="1"/>
        <v>Software</v>
      </c>
      <c r="D99" s="24">
        <v>44932</v>
      </c>
      <c r="E99" s="22">
        <v>15466</v>
      </c>
      <c r="F99" t="e" vm="2">
        <v>#VALUE!</v>
      </c>
    </row>
    <row r="100" spans="1:6" x14ac:dyDescent="0.35">
      <c r="A100" t="s">
        <v>181</v>
      </c>
      <c r="B100" t="s">
        <v>305</v>
      </c>
      <c r="C100" t="str">
        <f t="shared" si="1"/>
        <v>Hogar</v>
      </c>
      <c r="D100" s="24">
        <v>44913</v>
      </c>
      <c r="E100" s="22">
        <v>11611</v>
      </c>
      <c r="F100" t="e" vm="4">
        <v>#VALUE!</v>
      </c>
    </row>
    <row r="101" spans="1:6" x14ac:dyDescent="0.35">
      <c r="A101" t="s">
        <v>182</v>
      </c>
      <c r="B101" t="s">
        <v>425</v>
      </c>
      <c r="C101" t="str">
        <f t="shared" si="1"/>
        <v>Ropa deportiva</v>
      </c>
      <c r="D101" s="24">
        <v>44942</v>
      </c>
      <c r="E101" s="22">
        <v>3372</v>
      </c>
      <c r="F101" t="e" vm="2">
        <v>#VALUE!</v>
      </c>
    </row>
    <row r="102" spans="1:6" x14ac:dyDescent="0.35">
      <c r="A102" t="s">
        <v>183</v>
      </c>
      <c r="B102" t="s">
        <v>127</v>
      </c>
      <c r="C102" t="str">
        <f t="shared" si="1"/>
        <v>Refacciones autos</v>
      </c>
      <c r="D102" s="24">
        <v>44907</v>
      </c>
      <c r="E102" s="22">
        <v>15712</v>
      </c>
      <c r="F102" t="e" vm="4">
        <v>#VALUE!</v>
      </c>
    </row>
    <row r="103" spans="1:6" x14ac:dyDescent="0.35">
      <c r="A103" t="s">
        <v>184</v>
      </c>
      <c r="B103" t="s">
        <v>361</v>
      </c>
      <c r="C103" t="str">
        <f t="shared" si="1"/>
        <v>Software</v>
      </c>
      <c r="D103" s="24">
        <v>44896</v>
      </c>
      <c r="E103" s="22">
        <v>17454</v>
      </c>
      <c r="F103" t="e" vm="6">
        <v>#VALUE!</v>
      </c>
    </row>
    <row r="104" spans="1:6" x14ac:dyDescent="0.35">
      <c r="A104" t="s">
        <v>185</v>
      </c>
      <c r="B104" t="s">
        <v>110</v>
      </c>
      <c r="C104" t="str">
        <f t="shared" si="1"/>
        <v>Software</v>
      </c>
      <c r="D104" s="24">
        <v>44942</v>
      </c>
      <c r="E104" s="22">
        <v>13980</v>
      </c>
      <c r="F104" t="e" vm="6">
        <v>#VALUE!</v>
      </c>
    </row>
    <row r="105" spans="1:6" x14ac:dyDescent="0.35">
      <c r="A105" t="s">
        <v>186</v>
      </c>
      <c r="B105" t="s">
        <v>110</v>
      </c>
      <c r="C105" t="str">
        <f t="shared" si="1"/>
        <v>Software</v>
      </c>
      <c r="D105" s="24">
        <v>44930</v>
      </c>
      <c r="E105" s="22">
        <v>5588</v>
      </c>
      <c r="F105" t="e" vm="2">
        <v>#VALUE!</v>
      </c>
    </row>
    <row r="106" spans="1:6" x14ac:dyDescent="0.35">
      <c r="A106" t="s">
        <v>187</v>
      </c>
      <c r="B106" t="s">
        <v>361</v>
      </c>
      <c r="C106" t="str">
        <f t="shared" si="1"/>
        <v>Software</v>
      </c>
      <c r="D106" s="24">
        <v>44899</v>
      </c>
      <c r="E106" s="22">
        <v>12010</v>
      </c>
      <c r="F106" t="e" vm="4">
        <v>#VALUE!</v>
      </c>
    </row>
    <row r="107" spans="1:6" x14ac:dyDescent="0.35">
      <c r="A107" t="s">
        <v>188</v>
      </c>
      <c r="B107" t="s">
        <v>305</v>
      </c>
      <c r="C107" t="str">
        <f t="shared" si="1"/>
        <v>Hogar</v>
      </c>
      <c r="D107" s="24">
        <v>44934</v>
      </c>
      <c r="E107" s="22">
        <v>14619</v>
      </c>
      <c r="F107" t="e" vm="6">
        <v>#VALUE!</v>
      </c>
    </row>
    <row r="108" spans="1:6" x14ac:dyDescent="0.35">
      <c r="A108" t="s">
        <v>189</v>
      </c>
      <c r="B108" t="s">
        <v>305</v>
      </c>
      <c r="C108" t="str">
        <f t="shared" si="1"/>
        <v>Hogar</v>
      </c>
      <c r="D108" s="24">
        <v>44919</v>
      </c>
      <c r="E108" s="22">
        <v>2531</v>
      </c>
      <c r="F108" t="e" vm="2">
        <v>#VALUE!</v>
      </c>
    </row>
    <row r="109" spans="1:6" x14ac:dyDescent="0.35">
      <c r="A109" t="s">
        <v>190</v>
      </c>
      <c r="B109" t="s">
        <v>81</v>
      </c>
      <c r="C109" t="str">
        <f t="shared" si="1"/>
        <v>Juguetería</v>
      </c>
      <c r="D109" s="24">
        <v>44910</v>
      </c>
      <c r="E109" s="22">
        <v>7682</v>
      </c>
      <c r="F109" t="e" vm="6">
        <v>#VALUE!</v>
      </c>
    </row>
    <row r="110" spans="1:6" x14ac:dyDescent="0.35">
      <c r="A110" t="s">
        <v>191</v>
      </c>
      <c r="B110" t="s">
        <v>361</v>
      </c>
      <c r="C110" t="str">
        <f t="shared" si="1"/>
        <v>Software</v>
      </c>
      <c r="D110" s="24">
        <v>44956</v>
      </c>
      <c r="E110" s="22">
        <v>15925</v>
      </c>
      <c r="F110" t="e" vm="6">
        <v>#VALUE!</v>
      </c>
    </row>
    <row r="111" spans="1:6" x14ac:dyDescent="0.35">
      <c r="A111" t="s">
        <v>192</v>
      </c>
      <c r="B111" t="s">
        <v>110</v>
      </c>
      <c r="C111" t="str">
        <f t="shared" si="1"/>
        <v>Software</v>
      </c>
      <c r="D111" s="24">
        <v>44910</v>
      </c>
      <c r="E111" s="22">
        <v>3501</v>
      </c>
      <c r="F111" t="e" vm="4">
        <v>#VALUE!</v>
      </c>
    </row>
    <row r="112" spans="1:6" x14ac:dyDescent="0.35">
      <c r="A112" t="s">
        <v>193</v>
      </c>
      <c r="B112" t="s">
        <v>361</v>
      </c>
      <c r="C112" t="str">
        <f t="shared" si="1"/>
        <v>Software</v>
      </c>
      <c r="D112" s="24">
        <v>44937</v>
      </c>
      <c r="E112" s="22">
        <v>7700</v>
      </c>
      <c r="F112" t="e" vm="6">
        <v>#VALUE!</v>
      </c>
    </row>
    <row r="113" spans="1:6" x14ac:dyDescent="0.35">
      <c r="A113" t="s">
        <v>194</v>
      </c>
      <c r="B113" t="s">
        <v>350</v>
      </c>
      <c r="C113" t="str">
        <f t="shared" si="1"/>
        <v>Ropa deportiva</v>
      </c>
      <c r="D113" s="24">
        <v>44882</v>
      </c>
      <c r="E113" s="22">
        <v>12379</v>
      </c>
      <c r="F113" t="e" vm="4">
        <v>#VALUE!</v>
      </c>
    </row>
    <row r="114" spans="1:6" x14ac:dyDescent="0.35">
      <c r="A114" t="s">
        <v>195</v>
      </c>
      <c r="B114" t="s">
        <v>361</v>
      </c>
      <c r="C114" t="str">
        <f t="shared" si="1"/>
        <v>Software</v>
      </c>
      <c r="D114" s="24">
        <v>44918</v>
      </c>
      <c r="E114" s="22">
        <v>8039</v>
      </c>
      <c r="F114" t="e" vm="6">
        <v>#VALUE!</v>
      </c>
    </row>
    <row r="115" spans="1:6" x14ac:dyDescent="0.35">
      <c r="A115" t="s">
        <v>196</v>
      </c>
      <c r="B115" t="s">
        <v>361</v>
      </c>
      <c r="C115" t="str">
        <f t="shared" si="1"/>
        <v>Software</v>
      </c>
      <c r="D115" s="24">
        <v>44896</v>
      </c>
      <c r="E115" s="22">
        <v>9212</v>
      </c>
      <c r="F115" t="e" vm="2">
        <v>#VALUE!</v>
      </c>
    </row>
    <row r="116" spans="1:6" x14ac:dyDescent="0.35">
      <c r="A116" t="s">
        <v>197</v>
      </c>
      <c r="B116" t="s">
        <v>110</v>
      </c>
      <c r="C116" t="str">
        <f t="shared" si="1"/>
        <v>Software</v>
      </c>
      <c r="D116" s="24">
        <v>44937</v>
      </c>
      <c r="E116" s="22">
        <v>8677</v>
      </c>
      <c r="F116" t="e" vm="2">
        <v>#VALUE!</v>
      </c>
    </row>
    <row r="117" spans="1:6" x14ac:dyDescent="0.35">
      <c r="A117" t="s">
        <v>198</v>
      </c>
      <c r="B117" t="s">
        <v>305</v>
      </c>
      <c r="C117" t="str">
        <f t="shared" si="1"/>
        <v>Hogar</v>
      </c>
      <c r="D117" s="24">
        <v>44950</v>
      </c>
      <c r="E117" s="22">
        <v>6957</v>
      </c>
      <c r="F117" t="e" vm="2">
        <v>#VALUE!</v>
      </c>
    </row>
    <row r="118" spans="1:6" x14ac:dyDescent="0.35">
      <c r="A118" t="s">
        <v>199</v>
      </c>
      <c r="B118" t="s">
        <v>127</v>
      </c>
      <c r="C118" t="str">
        <f t="shared" si="1"/>
        <v>Refacciones autos</v>
      </c>
      <c r="D118" s="24">
        <v>44935</v>
      </c>
      <c r="E118" s="22">
        <v>2693</v>
      </c>
      <c r="F118" t="e" vm="2">
        <v>#VALUE!</v>
      </c>
    </row>
    <row r="119" spans="1:6" x14ac:dyDescent="0.35">
      <c r="A119" t="s">
        <v>200</v>
      </c>
      <c r="B119" t="s">
        <v>127</v>
      </c>
      <c r="C119" t="str">
        <f t="shared" si="1"/>
        <v>Refacciones autos</v>
      </c>
      <c r="D119" s="24">
        <v>44935</v>
      </c>
      <c r="E119" s="22">
        <v>7190</v>
      </c>
      <c r="F119" t="e" vm="2">
        <v>#VALUE!</v>
      </c>
    </row>
    <row r="120" spans="1:6" x14ac:dyDescent="0.35">
      <c r="A120" t="s">
        <v>201</v>
      </c>
      <c r="B120" t="s">
        <v>127</v>
      </c>
      <c r="C120" t="str">
        <f t="shared" si="1"/>
        <v>Refacciones autos</v>
      </c>
      <c r="D120" s="24">
        <v>44894</v>
      </c>
      <c r="E120" s="22">
        <v>1702</v>
      </c>
      <c r="F120" t="e" vm="6">
        <v>#VALUE!</v>
      </c>
    </row>
    <row r="121" spans="1:6" x14ac:dyDescent="0.35">
      <c r="A121" t="s">
        <v>202</v>
      </c>
      <c r="B121" t="s">
        <v>361</v>
      </c>
      <c r="C121" t="str">
        <f t="shared" si="1"/>
        <v>Software</v>
      </c>
      <c r="D121" s="24">
        <v>44910</v>
      </c>
      <c r="E121" s="22">
        <v>15953</v>
      </c>
      <c r="F121" t="e" vm="4">
        <v>#VALUE!</v>
      </c>
    </row>
    <row r="122" spans="1:6" x14ac:dyDescent="0.35">
      <c r="A122" t="s">
        <v>203</v>
      </c>
      <c r="B122" t="s">
        <v>305</v>
      </c>
      <c r="C122" t="str">
        <f t="shared" si="1"/>
        <v>Hogar</v>
      </c>
      <c r="D122" s="24">
        <v>44866</v>
      </c>
      <c r="E122" s="22">
        <v>12799</v>
      </c>
      <c r="F122" t="e" vm="2">
        <v>#VALUE!</v>
      </c>
    </row>
    <row r="123" spans="1:6" x14ac:dyDescent="0.35">
      <c r="A123" t="s">
        <v>204</v>
      </c>
      <c r="B123" t="s">
        <v>127</v>
      </c>
      <c r="C123" t="str">
        <f t="shared" si="1"/>
        <v>Refacciones autos</v>
      </c>
      <c r="D123" s="24">
        <v>44947</v>
      </c>
      <c r="E123" s="22">
        <v>5882</v>
      </c>
      <c r="F123" t="e" vm="6">
        <v>#VALUE!</v>
      </c>
    </row>
    <row r="124" spans="1:6" x14ac:dyDescent="0.35">
      <c r="A124" t="s">
        <v>205</v>
      </c>
      <c r="B124" t="s">
        <v>127</v>
      </c>
      <c r="C124" t="str">
        <f t="shared" si="1"/>
        <v>Refacciones autos</v>
      </c>
      <c r="D124" s="24">
        <v>44883</v>
      </c>
      <c r="E124" s="22">
        <v>3489</v>
      </c>
      <c r="F124" t="e" vm="6">
        <v>#VALUE!</v>
      </c>
    </row>
    <row r="125" spans="1:6" x14ac:dyDescent="0.35">
      <c r="A125" t="s">
        <v>206</v>
      </c>
      <c r="B125" t="s">
        <v>81</v>
      </c>
      <c r="C125" t="str">
        <f t="shared" si="1"/>
        <v>Juguetería</v>
      </c>
      <c r="D125" s="24">
        <v>44910</v>
      </c>
      <c r="E125" s="22">
        <v>1960</v>
      </c>
      <c r="F125" t="e" vm="6">
        <v>#VALUE!</v>
      </c>
    </row>
    <row r="126" spans="1:6" x14ac:dyDescent="0.35">
      <c r="A126" t="s">
        <v>207</v>
      </c>
      <c r="B126" t="s">
        <v>127</v>
      </c>
      <c r="C126" t="str">
        <f t="shared" si="1"/>
        <v>Refacciones autos</v>
      </c>
      <c r="D126" s="24">
        <v>44949</v>
      </c>
      <c r="E126" s="22">
        <v>16978</v>
      </c>
      <c r="F126" t="e" vm="2">
        <v>#VALUE!</v>
      </c>
    </row>
    <row r="127" spans="1:6" x14ac:dyDescent="0.35">
      <c r="A127" t="s">
        <v>208</v>
      </c>
      <c r="B127" t="s">
        <v>361</v>
      </c>
      <c r="C127" t="str">
        <f t="shared" si="1"/>
        <v>Software</v>
      </c>
      <c r="D127" s="24">
        <v>44954</v>
      </c>
      <c r="E127" s="22">
        <v>15840</v>
      </c>
      <c r="F127" t="e" vm="6">
        <v>#VALUE!</v>
      </c>
    </row>
    <row r="128" spans="1:6" x14ac:dyDescent="0.35">
      <c r="A128" t="s">
        <v>209</v>
      </c>
      <c r="B128" t="s">
        <v>81</v>
      </c>
      <c r="C128" t="str">
        <f t="shared" si="1"/>
        <v>Juguetería</v>
      </c>
      <c r="D128" s="24">
        <v>44870</v>
      </c>
      <c r="E128" s="22">
        <v>11007</v>
      </c>
      <c r="F128" t="e" vm="6">
        <v>#VALUE!</v>
      </c>
    </row>
    <row r="129" spans="1:6" x14ac:dyDescent="0.35">
      <c r="A129" t="s">
        <v>210</v>
      </c>
      <c r="B129" t="s">
        <v>81</v>
      </c>
      <c r="C129" t="str">
        <f t="shared" si="1"/>
        <v>Juguetería</v>
      </c>
      <c r="D129" s="24">
        <v>44900</v>
      </c>
      <c r="E129" s="22">
        <v>2762</v>
      </c>
      <c r="F129" t="e" vm="6">
        <v>#VALUE!</v>
      </c>
    </row>
    <row r="130" spans="1:6" x14ac:dyDescent="0.35">
      <c r="A130" t="s">
        <v>211</v>
      </c>
      <c r="B130" t="s">
        <v>110</v>
      </c>
      <c r="C130" t="str">
        <f t="shared" si="1"/>
        <v>Software</v>
      </c>
      <c r="D130" s="24">
        <v>44952</v>
      </c>
      <c r="E130" s="22">
        <v>6494</v>
      </c>
      <c r="F130" t="e" vm="6">
        <v>#VALUE!</v>
      </c>
    </row>
    <row r="131" spans="1:6" x14ac:dyDescent="0.35">
      <c r="A131" t="s">
        <v>212</v>
      </c>
      <c r="B131" t="s">
        <v>110</v>
      </c>
      <c r="C131" t="str">
        <f t="shared" ref="C131:C194" si="2">VLOOKUP(B131,$I$2:$J$9,2,FALSE)</f>
        <v>Software</v>
      </c>
      <c r="D131" s="24">
        <v>44874</v>
      </c>
      <c r="E131" s="22">
        <v>14042</v>
      </c>
      <c r="F131" t="e" vm="4">
        <v>#VALUE!</v>
      </c>
    </row>
    <row r="132" spans="1:6" x14ac:dyDescent="0.35">
      <c r="A132" t="s">
        <v>213</v>
      </c>
      <c r="B132" t="s">
        <v>361</v>
      </c>
      <c r="C132" t="str">
        <f t="shared" si="2"/>
        <v>Software</v>
      </c>
      <c r="D132" s="24">
        <v>44883</v>
      </c>
      <c r="E132" s="22">
        <v>18066</v>
      </c>
      <c r="F132" t="e" vm="4">
        <v>#VALUE!</v>
      </c>
    </row>
    <row r="133" spans="1:6" x14ac:dyDescent="0.35">
      <c r="A133" t="s">
        <v>214</v>
      </c>
      <c r="B133" t="s">
        <v>127</v>
      </c>
      <c r="C133" t="str">
        <f t="shared" si="2"/>
        <v>Refacciones autos</v>
      </c>
      <c r="D133" s="24">
        <v>44884</v>
      </c>
      <c r="E133" s="22">
        <v>18119</v>
      </c>
      <c r="F133" t="e" vm="6">
        <v>#VALUE!</v>
      </c>
    </row>
    <row r="134" spans="1:6" x14ac:dyDescent="0.35">
      <c r="A134" t="s">
        <v>215</v>
      </c>
      <c r="B134" t="s">
        <v>361</v>
      </c>
      <c r="C134" t="str">
        <f t="shared" si="2"/>
        <v>Software</v>
      </c>
      <c r="D134" s="24">
        <v>44902</v>
      </c>
      <c r="E134" s="22">
        <v>16003</v>
      </c>
      <c r="F134" t="e" vm="2">
        <v>#VALUE!</v>
      </c>
    </row>
    <row r="135" spans="1:6" x14ac:dyDescent="0.35">
      <c r="A135" t="s">
        <v>216</v>
      </c>
      <c r="B135" t="s">
        <v>350</v>
      </c>
      <c r="C135" t="str">
        <f t="shared" si="2"/>
        <v>Ropa deportiva</v>
      </c>
      <c r="D135" s="24">
        <v>44891</v>
      </c>
      <c r="E135" s="22">
        <v>17271</v>
      </c>
      <c r="F135" t="e" vm="2">
        <v>#VALUE!</v>
      </c>
    </row>
    <row r="136" spans="1:6" x14ac:dyDescent="0.35">
      <c r="A136" t="s">
        <v>217</v>
      </c>
      <c r="B136" t="s">
        <v>305</v>
      </c>
      <c r="C136" t="str">
        <f t="shared" si="2"/>
        <v>Hogar</v>
      </c>
      <c r="D136" s="24">
        <v>44940</v>
      </c>
      <c r="E136" s="22">
        <v>15404</v>
      </c>
      <c r="F136" t="e" vm="4">
        <v>#VALUE!</v>
      </c>
    </row>
    <row r="137" spans="1:6" x14ac:dyDescent="0.35">
      <c r="A137" t="s">
        <v>218</v>
      </c>
      <c r="B137" t="s">
        <v>81</v>
      </c>
      <c r="C137" t="str">
        <f t="shared" si="2"/>
        <v>Juguetería</v>
      </c>
      <c r="D137" s="24">
        <v>44912</v>
      </c>
      <c r="E137" s="22">
        <v>9199</v>
      </c>
      <c r="F137" t="e" vm="4">
        <v>#VALUE!</v>
      </c>
    </row>
    <row r="138" spans="1:6" x14ac:dyDescent="0.35">
      <c r="A138" t="s">
        <v>219</v>
      </c>
      <c r="B138" t="s">
        <v>350</v>
      </c>
      <c r="C138" t="str">
        <f t="shared" si="2"/>
        <v>Ropa deportiva</v>
      </c>
      <c r="D138" s="24">
        <v>44917</v>
      </c>
      <c r="E138" s="22">
        <v>9376</v>
      </c>
      <c r="F138" t="e" vm="2">
        <v>#VALUE!</v>
      </c>
    </row>
    <row r="139" spans="1:6" x14ac:dyDescent="0.35">
      <c r="A139" t="s">
        <v>220</v>
      </c>
      <c r="B139" t="s">
        <v>81</v>
      </c>
      <c r="C139" t="str">
        <f t="shared" si="2"/>
        <v>Juguetería</v>
      </c>
      <c r="D139" s="24">
        <v>44933</v>
      </c>
      <c r="E139" s="22">
        <v>2011</v>
      </c>
      <c r="F139" t="e" vm="2">
        <v>#VALUE!</v>
      </c>
    </row>
    <row r="140" spans="1:6" x14ac:dyDescent="0.35">
      <c r="A140" t="s">
        <v>221</v>
      </c>
      <c r="B140" t="s">
        <v>127</v>
      </c>
      <c r="C140" t="str">
        <f t="shared" si="2"/>
        <v>Refacciones autos</v>
      </c>
      <c r="D140" s="24">
        <v>44937</v>
      </c>
      <c r="E140" s="22">
        <v>6430</v>
      </c>
      <c r="F140" t="e" vm="4">
        <v>#VALUE!</v>
      </c>
    </row>
    <row r="141" spans="1:6" x14ac:dyDescent="0.35">
      <c r="A141" t="s">
        <v>222</v>
      </c>
      <c r="B141" t="s">
        <v>350</v>
      </c>
      <c r="C141" t="str">
        <f t="shared" si="2"/>
        <v>Ropa deportiva</v>
      </c>
      <c r="D141" s="24">
        <v>44897</v>
      </c>
      <c r="E141" s="22">
        <v>9668</v>
      </c>
      <c r="F141" t="e" vm="2">
        <v>#VALUE!</v>
      </c>
    </row>
    <row r="142" spans="1:6" x14ac:dyDescent="0.35">
      <c r="A142" t="s">
        <v>223</v>
      </c>
      <c r="B142" t="s">
        <v>425</v>
      </c>
      <c r="C142" t="str">
        <f t="shared" si="2"/>
        <v>Ropa deportiva</v>
      </c>
      <c r="D142" s="24">
        <v>44934</v>
      </c>
      <c r="E142" s="22">
        <v>19784</v>
      </c>
      <c r="F142" t="e" vm="2">
        <v>#VALUE!</v>
      </c>
    </row>
    <row r="143" spans="1:6" x14ac:dyDescent="0.35">
      <c r="A143" t="s">
        <v>224</v>
      </c>
      <c r="B143" t="s">
        <v>305</v>
      </c>
      <c r="C143" t="str">
        <f t="shared" si="2"/>
        <v>Hogar</v>
      </c>
      <c r="D143" s="24">
        <v>44923</v>
      </c>
      <c r="E143" s="22">
        <v>12702</v>
      </c>
      <c r="F143" t="e" vm="2">
        <v>#VALUE!</v>
      </c>
    </row>
    <row r="144" spans="1:6" x14ac:dyDescent="0.35">
      <c r="A144" t="s">
        <v>225</v>
      </c>
      <c r="B144" t="s">
        <v>425</v>
      </c>
      <c r="C144" t="str">
        <f t="shared" si="2"/>
        <v>Ropa deportiva</v>
      </c>
      <c r="D144" s="24">
        <v>44897</v>
      </c>
      <c r="E144" s="22">
        <v>18181</v>
      </c>
      <c r="F144" t="e" vm="6">
        <v>#VALUE!</v>
      </c>
    </row>
    <row r="145" spans="1:6" x14ac:dyDescent="0.35">
      <c r="A145" t="s">
        <v>226</v>
      </c>
      <c r="B145" t="s">
        <v>305</v>
      </c>
      <c r="C145" t="str">
        <f t="shared" si="2"/>
        <v>Hogar</v>
      </c>
      <c r="D145" s="24">
        <v>44920</v>
      </c>
      <c r="E145" s="22">
        <v>6358</v>
      </c>
      <c r="F145" t="e" vm="4">
        <v>#VALUE!</v>
      </c>
    </row>
    <row r="146" spans="1:6" x14ac:dyDescent="0.35">
      <c r="A146" t="s">
        <v>227</v>
      </c>
      <c r="B146" t="s">
        <v>305</v>
      </c>
      <c r="C146" t="str">
        <f t="shared" si="2"/>
        <v>Hogar</v>
      </c>
      <c r="D146" s="24">
        <v>44894</v>
      </c>
      <c r="E146" s="22">
        <v>1435</v>
      </c>
      <c r="F146" t="e" vm="4">
        <v>#VALUE!</v>
      </c>
    </row>
    <row r="147" spans="1:6" x14ac:dyDescent="0.35">
      <c r="A147" t="s">
        <v>228</v>
      </c>
      <c r="B147" t="s">
        <v>350</v>
      </c>
      <c r="C147" t="str">
        <f t="shared" si="2"/>
        <v>Ropa deportiva</v>
      </c>
      <c r="D147" s="24">
        <v>44957</v>
      </c>
      <c r="E147" s="22">
        <v>18049</v>
      </c>
      <c r="F147" t="e" vm="6">
        <v>#VALUE!</v>
      </c>
    </row>
    <row r="148" spans="1:6" x14ac:dyDescent="0.35">
      <c r="A148" t="s">
        <v>229</v>
      </c>
      <c r="B148" t="s">
        <v>81</v>
      </c>
      <c r="C148" t="str">
        <f t="shared" si="2"/>
        <v>Juguetería</v>
      </c>
      <c r="D148" s="24">
        <v>44946</v>
      </c>
      <c r="E148" s="22">
        <v>4655</v>
      </c>
      <c r="F148" t="e" vm="2">
        <v>#VALUE!</v>
      </c>
    </row>
    <row r="149" spans="1:6" x14ac:dyDescent="0.35">
      <c r="A149" t="s">
        <v>230</v>
      </c>
      <c r="B149" t="s">
        <v>110</v>
      </c>
      <c r="C149" t="str">
        <f t="shared" si="2"/>
        <v>Software</v>
      </c>
      <c r="D149" s="24">
        <v>44882</v>
      </c>
      <c r="E149" s="22">
        <v>7602</v>
      </c>
      <c r="F149" t="e" vm="2">
        <v>#VALUE!</v>
      </c>
    </row>
    <row r="150" spans="1:6" x14ac:dyDescent="0.35">
      <c r="A150" t="s">
        <v>231</v>
      </c>
      <c r="B150" t="s">
        <v>127</v>
      </c>
      <c r="C150" t="str">
        <f t="shared" si="2"/>
        <v>Refacciones autos</v>
      </c>
      <c r="D150" s="24">
        <v>44919</v>
      </c>
      <c r="E150" s="22">
        <v>9954</v>
      </c>
      <c r="F150" t="e" vm="6">
        <v>#VALUE!</v>
      </c>
    </row>
    <row r="151" spans="1:6" x14ac:dyDescent="0.35">
      <c r="A151" t="s">
        <v>232</v>
      </c>
      <c r="B151" t="s">
        <v>110</v>
      </c>
      <c r="C151" t="str">
        <f t="shared" si="2"/>
        <v>Software</v>
      </c>
      <c r="D151" s="24">
        <v>44915</v>
      </c>
      <c r="E151" s="22">
        <v>10603</v>
      </c>
      <c r="F151" t="e" vm="2">
        <v>#VALUE!</v>
      </c>
    </row>
    <row r="152" spans="1:6" x14ac:dyDescent="0.35">
      <c r="A152" t="s">
        <v>233</v>
      </c>
      <c r="B152" t="s">
        <v>81</v>
      </c>
      <c r="C152" t="str">
        <f t="shared" si="2"/>
        <v>Juguetería</v>
      </c>
      <c r="D152" s="24">
        <v>44911</v>
      </c>
      <c r="E152" s="22">
        <v>19285</v>
      </c>
      <c r="F152" t="e" vm="6">
        <v>#VALUE!</v>
      </c>
    </row>
    <row r="153" spans="1:6" x14ac:dyDescent="0.35">
      <c r="A153" t="s">
        <v>234</v>
      </c>
      <c r="B153" t="s">
        <v>81</v>
      </c>
      <c r="C153" t="str">
        <f t="shared" si="2"/>
        <v>Juguetería</v>
      </c>
      <c r="D153" s="24">
        <v>44910</v>
      </c>
      <c r="E153" s="22">
        <v>14076</v>
      </c>
      <c r="F153" t="e" vm="6">
        <v>#VALUE!</v>
      </c>
    </row>
    <row r="154" spans="1:6" x14ac:dyDescent="0.35">
      <c r="A154" t="s">
        <v>235</v>
      </c>
      <c r="B154" t="s">
        <v>425</v>
      </c>
      <c r="C154" t="str">
        <f t="shared" si="2"/>
        <v>Ropa deportiva</v>
      </c>
      <c r="D154" s="24">
        <v>44942</v>
      </c>
      <c r="E154" s="22">
        <v>17706</v>
      </c>
      <c r="F154" t="e" vm="6">
        <v>#VALUE!</v>
      </c>
    </row>
    <row r="155" spans="1:6" x14ac:dyDescent="0.35">
      <c r="A155" t="s">
        <v>236</v>
      </c>
      <c r="B155" t="s">
        <v>350</v>
      </c>
      <c r="C155" t="str">
        <f t="shared" si="2"/>
        <v>Ropa deportiva</v>
      </c>
      <c r="D155" s="24">
        <v>44944</v>
      </c>
      <c r="E155" s="22">
        <v>11536</v>
      </c>
      <c r="F155" t="e" vm="4">
        <v>#VALUE!</v>
      </c>
    </row>
    <row r="156" spans="1:6" x14ac:dyDescent="0.35">
      <c r="A156" t="s">
        <v>237</v>
      </c>
      <c r="B156" t="s">
        <v>305</v>
      </c>
      <c r="C156" t="str">
        <f t="shared" si="2"/>
        <v>Hogar</v>
      </c>
      <c r="D156" s="24">
        <v>44934</v>
      </c>
      <c r="E156" s="22">
        <v>19065</v>
      </c>
      <c r="F156" t="e" vm="4">
        <v>#VALUE!</v>
      </c>
    </row>
    <row r="157" spans="1:6" x14ac:dyDescent="0.35">
      <c r="A157" t="s">
        <v>238</v>
      </c>
      <c r="B157" t="s">
        <v>425</v>
      </c>
      <c r="C157" t="str">
        <f t="shared" si="2"/>
        <v>Ropa deportiva</v>
      </c>
      <c r="D157" s="24">
        <v>44884</v>
      </c>
      <c r="E157" s="22">
        <v>5380</v>
      </c>
      <c r="F157" t="e" vm="6">
        <v>#VALUE!</v>
      </c>
    </row>
    <row r="158" spans="1:6" x14ac:dyDescent="0.35">
      <c r="A158" t="s">
        <v>239</v>
      </c>
      <c r="B158" t="s">
        <v>127</v>
      </c>
      <c r="C158" t="str">
        <f t="shared" si="2"/>
        <v>Refacciones autos</v>
      </c>
      <c r="D158" s="24">
        <v>44910</v>
      </c>
      <c r="E158" s="22">
        <v>17258</v>
      </c>
      <c r="F158" t="e" vm="6">
        <v>#VALUE!</v>
      </c>
    </row>
    <row r="159" spans="1:6" x14ac:dyDescent="0.35">
      <c r="A159" t="s">
        <v>240</v>
      </c>
      <c r="B159" t="s">
        <v>81</v>
      </c>
      <c r="C159" t="str">
        <f t="shared" si="2"/>
        <v>Juguetería</v>
      </c>
      <c r="D159" s="24">
        <v>44881</v>
      </c>
      <c r="E159" s="22">
        <v>14970</v>
      </c>
      <c r="F159" t="e" vm="4">
        <v>#VALUE!</v>
      </c>
    </row>
    <row r="160" spans="1:6" x14ac:dyDescent="0.35">
      <c r="A160" t="s">
        <v>241</v>
      </c>
      <c r="B160" t="s">
        <v>110</v>
      </c>
      <c r="C160" t="str">
        <f t="shared" si="2"/>
        <v>Software</v>
      </c>
      <c r="D160" s="24">
        <v>44895</v>
      </c>
      <c r="E160" s="22">
        <v>8651</v>
      </c>
      <c r="F160" t="e" vm="6">
        <v>#VALUE!</v>
      </c>
    </row>
    <row r="161" spans="1:6" x14ac:dyDescent="0.35">
      <c r="A161" t="s">
        <v>242</v>
      </c>
      <c r="B161" t="s">
        <v>350</v>
      </c>
      <c r="C161" t="str">
        <f t="shared" si="2"/>
        <v>Ropa deportiva</v>
      </c>
      <c r="D161" s="24">
        <v>44897</v>
      </c>
      <c r="E161" s="22">
        <v>6563</v>
      </c>
      <c r="F161" t="e" vm="6">
        <v>#VALUE!</v>
      </c>
    </row>
    <row r="162" spans="1:6" x14ac:dyDescent="0.35">
      <c r="A162" t="s">
        <v>243</v>
      </c>
      <c r="B162" t="s">
        <v>350</v>
      </c>
      <c r="C162" t="str">
        <f t="shared" si="2"/>
        <v>Ropa deportiva</v>
      </c>
      <c r="D162" s="24">
        <v>44918</v>
      </c>
      <c r="E162" s="22">
        <v>16901</v>
      </c>
      <c r="F162" t="e" vm="6">
        <v>#VALUE!</v>
      </c>
    </row>
    <row r="163" spans="1:6" x14ac:dyDescent="0.35">
      <c r="A163" t="s">
        <v>244</v>
      </c>
      <c r="B163" t="s">
        <v>361</v>
      </c>
      <c r="C163" t="str">
        <f t="shared" si="2"/>
        <v>Software</v>
      </c>
      <c r="D163" s="24">
        <v>44894</v>
      </c>
      <c r="E163" s="22">
        <v>6140</v>
      </c>
      <c r="F163" t="e" vm="6">
        <v>#VALUE!</v>
      </c>
    </row>
    <row r="164" spans="1:6" x14ac:dyDescent="0.35">
      <c r="A164" t="s">
        <v>245</v>
      </c>
      <c r="B164" t="s">
        <v>81</v>
      </c>
      <c r="C164" t="str">
        <f t="shared" si="2"/>
        <v>Juguetería</v>
      </c>
      <c r="D164" s="24">
        <v>44951</v>
      </c>
      <c r="E164" s="22">
        <v>1669</v>
      </c>
      <c r="F164" t="e" vm="2">
        <v>#VALUE!</v>
      </c>
    </row>
    <row r="165" spans="1:6" x14ac:dyDescent="0.35">
      <c r="A165" t="s">
        <v>246</v>
      </c>
      <c r="B165" t="s">
        <v>350</v>
      </c>
      <c r="C165" t="str">
        <f t="shared" si="2"/>
        <v>Ropa deportiva</v>
      </c>
      <c r="D165" s="24">
        <v>44909</v>
      </c>
      <c r="E165" s="22">
        <v>11694</v>
      </c>
      <c r="F165" t="e" vm="4">
        <v>#VALUE!</v>
      </c>
    </row>
    <row r="166" spans="1:6" x14ac:dyDescent="0.35">
      <c r="A166" t="s">
        <v>247</v>
      </c>
      <c r="B166" t="s">
        <v>81</v>
      </c>
      <c r="C166" t="str">
        <f t="shared" si="2"/>
        <v>Juguetería</v>
      </c>
      <c r="D166" s="24">
        <v>44944</v>
      </c>
      <c r="E166" s="22">
        <v>5857</v>
      </c>
      <c r="F166" t="e" vm="6">
        <v>#VALUE!</v>
      </c>
    </row>
    <row r="167" spans="1:6" x14ac:dyDescent="0.35">
      <c r="A167" t="s">
        <v>248</v>
      </c>
      <c r="B167" t="s">
        <v>361</v>
      </c>
      <c r="C167" t="str">
        <f t="shared" si="2"/>
        <v>Software</v>
      </c>
      <c r="D167" s="24">
        <v>44891</v>
      </c>
      <c r="E167" s="22">
        <v>10819</v>
      </c>
      <c r="F167" t="e" vm="2">
        <v>#VALUE!</v>
      </c>
    </row>
    <row r="168" spans="1:6" x14ac:dyDescent="0.35">
      <c r="A168" t="s">
        <v>249</v>
      </c>
      <c r="B168" t="s">
        <v>361</v>
      </c>
      <c r="C168" t="str">
        <f t="shared" si="2"/>
        <v>Software</v>
      </c>
      <c r="D168" s="24">
        <v>44934</v>
      </c>
      <c r="E168" s="22">
        <v>4208</v>
      </c>
      <c r="F168" t="e" vm="4">
        <v>#VALUE!</v>
      </c>
    </row>
    <row r="169" spans="1:6" x14ac:dyDescent="0.35">
      <c r="A169" t="s">
        <v>250</v>
      </c>
      <c r="B169" t="s">
        <v>425</v>
      </c>
      <c r="C169" t="str">
        <f t="shared" si="2"/>
        <v>Ropa deportiva</v>
      </c>
      <c r="D169" s="24">
        <v>44950</v>
      </c>
      <c r="E169" s="22">
        <v>12242</v>
      </c>
      <c r="F169" t="e" vm="6">
        <v>#VALUE!</v>
      </c>
    </row>
    <row r="170" spans="1:6" x14ac:dyDescent="0.35">
      <c r="A170" t="s">
        <v>251</v>
      </c>
      <c r="B170" t="s">
        <v>350</v>
      </c>
      <c r="C170" t="str">
        <f t="shared" si="2"/>
        <v>Ropa deportiva</v>
      </c>
      <c r="D170" s="24">
        <v>44931</v>
      </c>
      <c r="E170" s="22">
        <v>13345</v>
      </c>
      <c r="F170" t="e" vm="6">
        <v>#VALUE!</v>
      </c>
    </row>
    <row r="171" spans="1:6" x14ac:dyDescent="0.35">
      <c r="A171" t="s">
        <v>252</v>
      </c>
      <c r="B171" t="s">
        <v>350</v>
      </c>
      <c r="C171" t="str">
        <f t="shared" si="2"/>
        <v>Ropa deportiva</v>
      </c>
      <c r="D171" s="24">
        <v>44892</v>
      </c>
      <c r="E171" s="22">
        <v>4947</v>
      </c>
      <c r="F171" t="e" vm="2">
        <v>#VALUE!</v>
      </c>
    </row>
    <row r="172" spans="1:6" x14ac:dyDescent="0.35">
      <c r="A172" t="s">
        <v>253</v>
      </c>
      <c r="B172" t="s">
        <v>425</v>
      </c>
      <c r="C172" t="str">
        <f t="shared" si="2"/>
        <v>Ropa deportiva</v>
      </c>
      <c r="D172" s="24">
        <v>44877</v>
      </c>
      <c r="E172" s="22">
        <v>3513</v>
      </c>
      <c r="F172" t="e" vm="6">
        <v>#VALUE!</v>
      </c>
    </row>
    <row r="173" spans="1:6" x14ac:dyDescent="0.35">
      <c r="A173" t="s">
        <v>254</v>
      </c>
      <c r="B173" t="s">
        <v>127</v>
      </c>
      <c r="C173" t="str">
        <f t="shared" si="2"/>
        <v>Refacciones autos</v>
      </c>
      <c r="D173" s="24">
        <v>44928</v>
      </c>
      <c r="E173" s="22">
        <v>9465</v>
      </c>
      <c r="F173" t="e" vm="2">
        <v>#VALUE!</v>
      </c>
    </row>
    <row r="174" spans="1:6" x14ac:dyDescent="0.35">
      <c r="A174" t="s">
        <v>255</v>
      </c>
      <c r="B174" t="s">
        <v>305</v>
      </c>
      <c r="C174" t="str">
        <f t="shared" si="2"/>
        <v>Hogar</v>
      </c>
      <c r="D174" s="24">
        <v>44948</v>
      </c>
      <c r="E174" s="22">
        <v>7804</v>
      </c>
      <c r="F174" t="e" vm="2">
        <v>#VALUE!</v>
      </c>
    </row>
    <row r="175" spans="1:6" x14ac:dyDescent="0.35">
      <c r="A175" t="s">
        <v>256</v>
      </c>
      <c r="B175" t="s">
        <v>361</v>
      </c>
      <c r="C175" t="str">
        <f t="shared" si="2"/>
        <v>Software</v>
      </c>
      <c r="D175" s="24">
        <v>44947</v>
      </c>
      <c r="E175" s="22">
        <v>10256</v>
      </c>
      <c r="F175" t="e" vm="4">
        <v>#VALUE!</v>
      </c>
    </row>
    <row r="176" spans="1:6" x14ac:dyDescent="0.35">
      <c r="A176" t="s">
        <v>257</v>
      </c>
      <c r="B176" t="s">
        <v>425</v>
      </c>
      <c r="C176" t="str">
        <f t="shared" si="2"/>
        <v>Ropa deportiva</v>
      </c>
      <c r="D176" s="24">
        <v>44952</v>
      </c>
      <c r="E176" s="22">
        <v>5220</v>
      </c>
      <c r="F176" t="e" vm="6">
        <v>#VALUE!</v>
      </c>
    </row>
    <row r="177" spans="1:6" x14ac:dyDescent="0.35">
      <c r="A177" t="s">
        <v>258</v>
      </c>
      <c r="B177" t="s">
        <v>361</v>
      </c>
      <c r="C177" t="str">
        <f t="shared" si="2"/>
        <v>Software</v>
      </c>
      <c r="D177" s="24">
        <v>44897</v>
      </c>
      <c r="E177" s="22">
        <v>2916</v>
      </c>
      <c r="F177" t="e" vm="2">
        <v>#VALUE!</v>
      </c>
    </row>
    <row r="178" spans="1:6" x14ac:dyDescent="0.35">
      <c r="A178" t="s">
        <v>259</v>
      </c>
      <c r="B178" t="s">
        <v>81</v>
      </c>
      <c r="C178" t="str">
        <f t="shared" si="2"/>
        <v>Juguetería</v>
      </c>
      <c r="D178" s="24">
        <v>44956</v>
      </c>
      <c r="E178" s="22">
        <v>17349</v>
      </c>
      <c r="F178" t="e" vm="2">
        <v>#VALUE!</v>
      </c>
    </row>
    <row r="179" spans="1:6" x14ac:dyDescent="0.35">
      <c r="A179" t="s">
        <v>260</v>
      </c>
      <c r="B179" t="s">
        <v>350</v>
      </c>
      <c r="C179" t="str">
        <f t="shared" si="2"/>
        <v>Ropa deportiva</v>
      </c>
      <c r="D179" s="24">
        <v>44868</v>
      </c>
      <c r="E179" s="22">
        <v>12904</v>
      </c>
      <c r="F179" t="e" vm="4">
        <v>#VALUE!</v>
      </c>
    </row>
    <row r="180" spans="1:6" x14ac:dyDescent="0.35">
      <c r="A180" t="s">
        <v>261</v>
      </c>
      <c r="B180" t="s">
        <v>350</v>
      </c>
      <c r="C180" t="str">
        <f t="shared" si="2"/>
        <v>Ropa deportiva</v>
      </c>
      <c r="D180" s="24">
        <v>44895</v>
      </c>
      <c r="E180" s="22">
        <v>2842</v>
      </c>
      <c r="F180" t="e" vm="4">
        <v>#VALUE!</v>
      </c>
    </row>
    <row r="181" spans="1:6" x14ac:dyDescent="0.35">
      <c r="A181" t="s">
        <v>262</v>
      </c>
      <c r="B181" t="s">
        <v>350</v>
      </c>
      <c r="C181" t="str">
        <f t="shared" si="2"/>
        <v>Ropa deportiva</v>
      </c>
      <c r="D181" s="24">
        <v>44901</v>
      </c>
      <c r="E181" s="22">
        <v>4549</v>
      </c>
      <c r="F181" t="e" vm="4">
        <v>#VALUE!</v>
      </c>
    </row>
    <row r="182" spans="1:6" x14ac:dyDescent="0.35">
      <c r="A182" t="s">
        <v>263</v>
      </c>
      <c r="B182" t="s">
        <v>305</v>
      </c>
      <c r="C182" t="str">
        <f t="shared" si="2"/>
        <v>Hogar</v>
      </c>
      <c r="D182" s="24">
        <v>44877</v>
      </c>
      <c r="E182" s="22">
        <v>3890</v>
      </c>
      <c r="F182" t="e" vm="2">
        <v>#VALUE!</v>
      </c>
    </row>
    <row r="183" spans="1:6" x14ac:dyDescent="0.35">
      <c r="A183" t="s">
        <v>264</v>
      </c>
      <c r="B183" t="s">
        <v>110</v>
      </c>
      <c r="C183" t="str">
        <f t="shared" si="2"/>
        <v>Software</v>
      </c>
      <c r="D183" s="24">
        <v>44893</v>
      </c>
      <c r="E183" s="22">
        <v>16896</v>
      </c>
      <c r="F183" t="e" vm="4">
        <v>#VALUE!</v>
      </c>
    </row>
    <row r="184" spans="1:6" x14ac:dyDescent="0.35">
      <c r="A184" t="s">
        <v>265</v>
      </c>
      <c r="B184" t="s">
        <v>425</v>
      </c>
      <c r="C184" t="str">
        <f t="shared" si="2"/>
        <v>Ropa deportiva</v>
      </c>
      <c r="D184" s="24">
        <v>44913</v>
      </c>
      <c r="E184" s="22">
        <v>3060</v>
      </c>
      <c r="F184" t="e" vm="2">
        <v>#VALUE!</v>
      </c>
    </row>
    <row r="185" spans="1:6" x14ac:dyDescent="0.35">
      <c r="A185" t="s">
        <v>266</v>
      </c>
      <c r="B185" t="s">
        <v>110</v>
      </c>
      <c r="C185" t="str">
        <f t="shared" si="2"/>
        <v>Software</v>
      </c>
      <c r="D185" s="24">
        <v>44874</v>
      </c>
      <c r="E185" s="22">
        <v>17040</v>
      </c>
      <c r="F185" t="e" vm="2">
        <v>#VALUE!</v>
      </c>
    </row>
    <row r="186" spans="1:6" x14ac:dyDescent="0.35">
      <c r="A186" t="s">
        <v>267</v>
      </c>
      <c r="B186" t="s">
        <v>361</v>
      </c>
      <c r="C186" t="str">
        <f t="shared" si="2"/>
        <v>Software</v>
      </c>
      <c r="D186" s="24">
        <v>44926</v>
      </c>
      <c r="E186" s="22">
        <v>12374</v>
      </c>
      <c r="F186" t="e" vm="6">
        <v>#VALUE!</v>
      </c>
    </row>
    <row r="187" spans="1:6" x14ac:dyDescent="0.35">
      <c r="A187" t="s">
        <v>268</v>
      </c>
      <c r="B187" t="s">
        <v>350</v>
      </c>
      <c r="C187" t="str">
        <f t="shared" si="2"/>
        <v>Ropa deportiva</v>
      </c>
      <c r="D187" s="24">
        <v>44906</v>
      </c>
      <c r="E187" s="22">
        <v>13284</v>
      </c>
      <c r="F187" t="e" vm="6">
        <v>#VALUE!</v>
      </c>
    </row>
    <row r="188" spans="1:6" x14ac:dyDescent="0.35">
      <c r="A188" t="s">
        <v>269</v>
      </c>
      <c r="B188" t="s">
        <v>350</v>
      </c>
      <c r="C188" t="str">
        <f t="shared" si="2"/>
        <v>Ropa deportiva</v>
      </c>
      <c r="D188" s="24">
        <v>44875</v>
      </c>
      <c r="E188" s="22">
        <v>10837</v>
      </c>
      <c r="F188" t="e" vm="2">
        <v>#VALUE!</v>
      </c>
    </row>
    <row r="189" spans="1:6" x14ac:dyDescent="0.35">
      <c r="A189" t="s">
        <v>270</v>
      </c>
      <c r="B189" t="s">
        <v>425</v>
      </c>
      <c r="C189" t="str">
        <f t="shared" si="2"/>
        <v>Ropa deportiva</v>
      </c>
      <c r="D189" s="24">
        <v>44938</v>
      </c>
      <c r="E189" s="22">
        <v>9772</v>
      </c>
      <c r="F189" t="e" vm="2">
        <v>#VALUE!</v>
      </c>
    </row>
    <row r="190" spans="1:6" x14ac:dyDescent="0.35">
      <c r="A190" t="s">
        <v>271</v>
      </c>
      <c r="B190" t="s">
        <v>110</v>
      </c>
      <c r="C190" t="str">
        <f t="shared" si="2"/>
        <v>Software</v>
      </c>
      <c r="D190" s="24">
        <v>44890</v>
      </c>
      <c r="E190" s="22">
        <v>18468</v>
      </c>
      <c r="F190" t="e" vm="6">
        <v>#VALUE!</v>
      </c>
    </row>
    <row r="191" spans="1:6" x14ac:dyDescent="0.35">
      <c r="A191" t="s">
        <v>272</v>
      </c>
      <c r="B191" t="s">
        <v>361</v>
      </c>
      <c r="C191" t="str">
        <f t="shared" si="2"/>
        <v>Software</v>
      </c>
      <c r="D191" s="24">
        <v>44876</v>
      </c>
      <c r="E191" s="22">
        <v>15295</v>
      </c>
      <c r="F191" t="e" vm="2">
        <v>#VALUE!</v>
      </c>
    </row>
    <row r="192" spans="1:6" x14ac:dyDescent="0.35">
      <c r="A192" t="s">
        <v>273</v>
      </c>
      <c r="B192" t="s">
        <v>305</v>
      </c>
      <c r="C192" t="str">
        <f t="shared" si="2"/>
        <v>Hogar</v>
      </c>
      <c r="D192" s="24">
        <v>44874</v>
      </c>
      <c r="E192" s="22">
        <v>12456</v>
      </c>
      <c r="F192" t="e" vm="4">
        <v>#VALUE!</v>
      </c>
    </row>
    <row r="193" spans="1:6" x14ac:dyDescent="0.35">
      <c r="A193" t="s">
        <v>274</v>
      </c>
      <c r="B193" t="s">
        <v>81</v>
      </c>
      <c r="C193" t="str">
        <f t="shared" si="2"/>
        <v>Juguetería</v>
      </c>
      <c r="D193" s="24">
        <v>44907</v>
      </c>
      <c r="E193" s="22">
        <v>16568</v>
      </c>
      <c r="F193" t="e" vm="6">
        <v>#VALUE!</v>
      </c>
    </row>
    <row r="194" spans="1:6" x14ac:dyDescent="0.35">
      <c r="A194" t="s">
        <v>275</v>
      </c>
      <c r="B194" t="s">
        <v>81</v>
      </c>
      <c r="C194" t="str">
        <f t="shared" si="2"/>
        <v>Juguetería</v>
      </c>
      <c r="D194" s="24">
        <v>44935</v>
      </c>
      <c r="E194" s="22">
        <v>8590</v>
      </c>
      <c r="F194" t="e" vm="2">
        <v>#VALUE!</v>
      </c>
    </row>
    <row r="195" spans="1:6" x14ac:dyDescent="0.35">
      <c r="A195" t="s">
        <v>276</v>
      </c>
      <c r="B195" t="s">
        <v>305</v>
      </c>
      <c r="C195" t="str">
        <f t="shared" ref="C195:C258" si="3">VLOOKUP(B195,$I$2:$J$9,2,FALSE)</f>
        <v>Hogar</v>
      </c>
      <c r="D195" s="24">
        <v>44938</v>
      </c>
      <c r="E195" s="22">
        <v>8065</v>
      </c>
      <c r="F195" t="e" vm="2">
        <v>#VALUE!</v>
      </c>
    </row>
    <row r="196" spans="1:6" x14ac:dyDescent="0.35">
      <c r="A196" t="s">
        <v>277</v>
      </c>
      <c r="B196" t="s">
        <v>81</v>
      </c>
      <c r="C196" t="str">
        <f t="shared" si="3"/>
        <v>Juguetería</v>
      </c>
      <c r="D196" s="24">
        <v>44953</v>
      </c>
      <c r="E196" s="22">
        <v>14003</v>
      </c>
      <c r="F196" t="e" vm="4">
        <v>#VALUE!</v>
      </c>
    </row>
    <row r="197" spans="1:6" x14ac:dyDescent="0.35">
      <c r="A197" t="s">
        <v>278</v>
      </c>
      <c r="B197" t="s">
        <v>305</v>
      </c>
      <c r="C197" t="str">
        <f t="shared" si="3"/>
        <v>Hogar</v>
      </c>
      <c r="D197" s="24">
        <v>44921</v>
      </c>
      <c r="E197" s="22">
        <v>4415</v>
      </c>
      <c r="F197" t="e" vm="6">
        <v>#VALUE!</v>
      </c>
    </row>
    <row r="198" spans="1:6" x14ac:dyDescent="0.35">
      <c r="A198" t="s">
        <v>279</v>
      </c>
      <c r="B198" t="s">
        <v>110</v>
      </c>
      <c r="C198" t="str">
        <f t="shared" si="3"/>
        <v>Software</v>
      </c>
      <c r="D198" s="24">
        <v>44929</v>
      </c>
      <c r="E198" s="22">
        <v>9724</v>
      </c>
      <c r="F198" t="e" vm="4">
        <v>#VALUE!</v>
      </c>
    </row>
    <row r="199" spans="1:6" x14ac:dyDescent="0.35">
      <c r="A199" t="s">
        <v>280</v>
      </c>
      <c r="B199" t="s">
        <v>127</v>
      </c>
      <c r="C199" t="str">
        <f t="shared" si="3"/>
        <v>Refacciones autos</v>
      </c>
      <c r="D199" s="24">
        <v>44925</v>
      </c>
      <c r="E199" s="22">
        <v>1683</v>
      </c>
      <c r="F199" t="e" vm="2">
        <v>#VALUE!</v>
      </c>
    </row>
    <row r="200" spans="1:6" x14ac:dyDescent="0.35">
      <c r="A200" t="s">
        <v>281</v>
      </c>
      <c r="B200" t="s">
        <v>305</v>
      </c>
      <c r="C200" t="str">
        <f t="shared" si="3"/>
        <v>Hogar</v>
      </c>
      <c r="D200" s="24">
        <v>44891</v>
      </c>
      <c r="E200" s="22">
        <v>14094</v>
      </c>
      <c r="F200" t="e" vm="6">
        <v>#VALUE!</v>
      </c>
    </row>
    <row r="201" spans="1:6" x14ac:dyDescent="0.35">
      <c r="A201" t="s">
        <v>282</v>
      </c>
      <c r="B201" t="s">
        <v>81</v>
      </c>
      <c r="C201" t="str">
        <f t="shared" si="3"/>
        <v>Juguetería</v>
      </c>
      <c r="D201" s="24">
        <v>44929</v>
      </c>
      <c r="E201" s="22">
        <v>10199</v>
      </c>
      <c r="F201" t="e" vm="6">
        <v>#VALUE!</v>
      </c>
    </row>
    <row r="202" spans="1:6" x14ac:dyDescent="0.35">
      <c r="A202" t="s">
        <v>283</v>
      </c>
      <c r="B202" t="s">
        <v>361</v>
      </c>
      <c r="C202" t="str">
        <f t="shared" si="3"/>
        <v>Software</v>
      </c>
      <c r="D202" s="24">
        <v>44889</v>
      </c>
      <c r="E202" s="22">
        <v>9358</v>
      </c>
      <c r="F202" t="e" vm="4">
        <v>#VALUE!</v>
      </c>
    </row>
    <row r="203" spans="1:6" x14ac:dyDescent="0.35">
      <c r="A203" t="s">
        <v>284</v>
      </c>
      <c r="B203" t="s">
        <v>361</v>
      </c>
      <c r="C203" t="str">
        <f t="shared" si="3"/>
        <v>Software</v>
      </c>
      <c r="D203" s="24">
        <v>44924</v>
      </c>
      <c r="E203" s="22">
        <v>17161</v>
      </c>
      <c r="F203" t="e" vm="2">
        <v>#VALUE!</v>
      </c>
    </row>
    <row r="204" spans="1:6" x14ac:dyDescent="0.35">
      <c r="A204" t="s">
        <v>285</v>
      </c>
      <c r="B204" t="s">
        <v>425</v>
      </c>
      <c r="C204" t="str">
        <f t="shared" si="3"/>
        <v>Ropa deportiva</v>
      </c>
      <c r="D204" s="24">
        <v>44947</v>
      </c>
      <c r="E204" s="22">
        <v>6766</v>
      </c>
      <c r="F204" t="e" vm="4">
        <v>#VALUE!</v>
      </c>
    </row>
    <row r="205" spans="1:6" x14ac:dyDescent="0.35">
      <c r="A205" t="s">
        <v>286</v>
      </c>
      <c r="B205" t="s">
        <v>127</v>
      </c>
      <c r="C205" t="str">
        <f t="shared" si="3"/>
        <v>Refacciones autos</v>
      </c>
      <c r="D205" s="24">
        <v>44901</v>
      </c>
      <c r="E205" s="22">
        <v>7675</v>
      </c>
      <c r="F205" t="e" vm="4">
        <v>#VALUE!</v>
      </c>
    </row>
    <row r="206" spans="1:6" x14ac:dyDescent="0.35">
      <c r="A206" t="s">
        <v>287</v>
      </c>
      <c r="B206" t="s">
        <v>350</v>
      </c>
      <c r="C206" t="str">
        <f t="shared" si="3"/>
        <v>Ropa deportiva</v>
      </c>
      <c r="D206" s="24">
        <v>44902</v>
      </c>
      <c r="E206" s="22">
        <v>3683</v>
      </c>
      <c r="F206" t="e" vm="6">
        <v>#VALUE!</v>
      </c>
    </row>
    <row r="207" spans="1:6" x14ac:dyDescent="0.35">
      <c r="A207" t="s">
        <v>288</v>
      </c>
      <c r="B207" t="s">
        <v>350</v>
      </c>
      <c r="C207" t="str">
        <f t="shared" si="3"/>
        <v>Ropa deportiva</v>
      </c>
      <c r="D207" s="24">
        <v>44948</v>
      </c>
      <c r="E207" s="22">
        <v>11360</v>
      </c>
      <c r="F207" t="e" vm="4">
        <v>#VALUE!</v>
      </c>
    </row>
    <row r="208" spans="1:6" x14ac:dyDescent="0.35">
      <c r="A208" t="s">
        <v>289</v>
      </c>
      <c r="B208" t="s">
        <v>425</v>
      </c>
      <c r="C208" t="str">
        <f t="shared" si="3"/>
        <v>Ropa deportiva</v>
      </c>
      <c r="D208" s="24">
        <v>44902</v>
      </c>
      <c r="E208" s="22">
        <v>9882</v>
      </c>
      <c r="F208" t="e" vm="6">
        <v>#VALUE!</v>
      </c>
    </row>
    <row r="209" spans="1:6" x14ac:dyDescent="0.35">
      <c r="A209" t="s">
        <v>290</v>
      </c>
      <c r="B209" t="s">
        <v>81</v>
      </c>
      <c r="C209" t="str">
        <f t="shared" si="3"/>
        <v>Juguetería</v>
      </c>
      <c r="D209" s="24">
        <v>44870</v>
      </c>
      <c r="E209" s="22">
        <v>2607</v>
      </c>
      <c r="F209" t="e" vm="4">
        <v>#VALUE!</v>
      </c>
    </row>
    <row r="210" spans="1:6" x14ac:dyDescent="0.35">
      <c r="A210" t="s">
        <v>291</v>
      </c>
      <c r="B210" t="s">
        <v>305</v>
      </c>
      <c r="C210" t="str">
        <f t="shared" si="3"/>
        <v>Hogar</v>
      </c>
      <c r="D210" s="24">
        <v>44931</v>
      </c>
      <c r="E210" s="22">
        <v>12736</v>
      </c>
      <c r="F210" t="e" vm="6">
        <v>#VALUE!</v>
      </c>
    </row>
    <row r="211" spans="1:6" x14ac:dyDescent="0.35">
      <c r="A211" t="s">
        <v>292</v>
      </c>
      <c r="B211" t="s">
        <v>81</v>
      </c>
      <c r="C211" t="str">
        <f t="shared" si="3"/>
        <v>Juguetería</v>
      </c>
      <c r="D211" s="24">
        <v>44913</v>
      </c>
      <c r="E211" s="22">
        <v>16087</v>
      </c>
      <c r="F211" t="e" vm="4">
        <v>#VALUE!</v>
      </c>
    </row>
    <row r="212" spans="1:6" x14ac:dyDescent="0.35">
      <c r="A212" t="s">
        <v>293</v>
      </c>
      <c r="B212" t="s">
        <v>425</v>
      </c>
      <c r="C212" t="str">
        <f t="shared" si="3"/>
        <v>Ropa deportiva</v>
      </c>
      <c r="D212" s="24">
        <v>44927</v>
      </c>
      <c r="E212" s="22">
        <v>10964</v>
      </c>
      <c r="F212" t="e" vm="4">
        <v>#VALUE!</v>
      </c>
    </row>
    <row r="213" spans="1:6" x14ac:dyDescent="0.35">
      <c r="A213" t="s">
        <v>294</v>
      </c>
      <c r="B213" t="s">
        <v>110</v>
      </c>
      <c r="C213" t="str">
        <f t="shared" si="3"/>
        <v>Software</v>
      </c>
      <c r="D213" s="24">
        <v>44895</v>
      </c>
      <c r="E213" s="22">
        <v>19950</v>
      </c>
      <c r="F213" t="e" vm="6">
        <v>#VALUE!</v>
      </c>
    </row>
    <row r="214" spans="1:6" x14ac:dyDescent="0.35">
      <c r="A214" t="s">
        <v>295</v>
      </c>
      <c r="B214" t="s">
        <v>81</v>
      </c>
      <c r="C214" t="str">
        <f t="shared" si="3"/>
        <v>Juguetería</v>
      </c>
      <c r="D214" s="24">
        <v>44878</v>
      </c>
      <c r="E214" s="22">
        <v>14958</v>
      </c>
      <c r="F214" t="e" vm="6">
        <v>#VALUE!</v>
      </c>
    </row>
    <row r="215" spans="1:6" x14ac:dyDescent="0.35">
      <c r="A215" t="s">
        <v>296</v>
      </c>
      <c r="B215" t="s">
        <v>361</v>
      </c>
      <c r="C215" t="str">
        <f t="shared" si="3"/>
        <v>Software</v>
      </c>
      <c r="D215" s="24">
        <v>44899</v>
      </c>
      <c r="E215" s="22">
        <v>7770</v>
      </c>
      <c r="F215" t="e" vm="6">
        <v>#VALUE!</v>
      </c>
    </row>
    <row r="216" spans="1:6" x14ac:dyDescent="0.35">
      <c r="A216" t="s">
        <v>297</v>
      </c>
      <c r="B216" t="s">
        <v>350</v>
      </c>
      <c r="C216" t="str">
        <f t="shared" si="3"/>
        <v>Ropa deportiva</v>
      </c>
      <c r="D216" s="24">
        <v>44936</v>
      </c>
      <c r="E216" s="22">
        <v>16535</v>
      </c>
      <c r="F216" t="e" vm="4">
        <v>#VALUE!</v>
      </c>
    </row>
    <row r="217" spans="1:6" x14ac:dyDescent="0.35">
      <c r="A217" t="s">
        <v>298</v>
      </c>
      <c r="B217" t="s">
        <v>110</v>
      </c>
      <c r="C217" t="str">
        <f t="shared" si="3"/>
        <v>Software</v>
      </c>
      <c r="D217" s="24">
        <v>44899</v>
      </c>
      <c r="E217" s="22">
        <v>9844</v>
      </c>
      <c r="F217" t="e" vm="6">
        <v>#VALUE!</v>
      </c>
    </row>
    <row r="218" spans="1:6" x14ac:dyDescent="0.35">
      <c r="A218" t="s">
        <v>299</v>
      </c>
      <c r="B218" t="s">
        <v>305</v>
      </c>
      <c r="C218" t="str">
        <f t="shared" si="3"/>
        <v>Hogar</v>
      </c>
      <c r="D218" s="24">
        <v>44935</v>
      </c>
      <c r="E218" s="22">
        <v>16796</v>
      </c>
      <c r="F218" t="e" vm="6">
        <v>#VALUE!</v>
      </c>
    </row>
    <row r="219" spans="1:6" x14ac:dyDescent="0.35">
      <c r="A219" t="s">
        <v>300</v>
      </c>
      <c r="B219" t="s">
        <v>350</v>
      </c>
      <c r="C219" t="str">
        <f t="shared" si="3"/>
        <v>Ropa deportiva</v>
      </c>
      <c r="D219" s="24">
        <v>44927</v>
      </c>
      <c r="E219" s="22">
        <v>15453</v>
      </c>
      <c r="F219" t="e" vm="6">
        <v>#VALUE!</v>
      </c>
    </row>
    <row r="220" spans="1:6" x14ac:dyDescent="0.35">
      <c r="A220" t="s">
        <v>301</v>
      </c>
      <c r="B220" t="s">
        <v>350</v>
      </c>
      <c r="C220" t="str">
        <f t="shared" si="3"/>
        <v>Ropa deportiva</v>
      </c>
      <c r="D220" s="24">
        <v>44882</v>
      </c>
      <c r="E220" s="22">
        <v>17402</v>
      </c>
      <c r="F220" t="e" vm="4">
        <v>#VALUE!</v>
      </c>
    </row>
    <row r="221" spans="1:6" x14ac:dyDescent="0.35">
      <c r="A221" t="s">
        <v>302</v>
      </c>
      <c r="B221" t="s">
        <v>425</v>
      </c>
      <c r="C221" t="str">
        <f t="shared" si="3"/>
        <v>Ropa deportiva</v>
      </c>
      <c r="D221" s="24">
        <v>44888</v>
      </c>
      <c r="E221" s="22">
        <v>7306</v>
      </c>
      <c r="F221" t="e" vm="6">
        <v>#VALUE!</v>
      </c>
    </row>
    <row r="222" spans="1:6" x14ac:dyDescent="0.35">
      <c r="A222" t="s">
        <v>303</v>
      </c>
      <c r="B222" t="s">
        <v>81</v>
      </c>
      <c r="C222" t="str">
        <f t="shared" si="3"/>
        <v>Juguetería</v>
      </c>
      <c r="D222" s="24">
        <v>44901</v>
      </c>
      <c r="E222" s="22">
        <v>7224</v>
      </c>
      <c r="F222" t="e" vm="4">
        <v>#VALUE!</v>
      </c>
    </row>
    <row r="223" spans="1:6" x14ac:dyDescent="0.35">
      <c r="A223" t="s">
        <v>304</v>
      </c>
      <c r="B223" t="s">
        <v>127</v>
      </c>
      <c r="C223" t="str">
        <f t="shared" si="3"/>
        <v>Refacciones autos</v>
      </c>
      <c r="D223" s="24">
        <v>44954</v>
      </c>
      <c r="E223" s="22">
        <v>10978</v>
      </c>
      <c r="F223" t="e" vm="2">
        <v>#VALUE!</v>
      </c>
    </row>
    <row r="224" spans="1:6" x14ac:dyDescent="0.35">
      <c r="A224" t="s">
        <v>306</v>
      </c>
      <c r="B224" t="s">
        <v>350</v>
      </c>
      <c r="C224" t="str">
        <f t="shared" si="3"/>
        <v>Ropa deportiva</v>
      </c>
      <c r="D224" s="24">
        <v>44870</v>
      </c>
      <c r="E224" s="22">
        <v>7277</v>
      </c>
      <c r="F224" t="e" vm="6">
        <v>#VALUE!</v>
      </c>
    </row>
    <row r="225" spans="1:6" x14ac:dyDescent="0.35">
      <c r="A225" t="s">
        <v>307</v>
      </c>
      <c r="B225" t="s">
        <v>305</v>
      </c>
      <c r="C225" t="str">
        <f t="shared" si="3"/>
        <v>Hogar</v>
      </c>
      <c r="D225" s="24">
        <v>44909</v>
      </c>
      <c r="E225" s="22">
        <v>10150</v>
      </c>
      <c r="F225" t="e" vm="2">
        <v>#VALUE!</v>
      </c>
    </row>
    <row r="226" spans="1:6" x14ac:dyDescent="0.35">
      <c r="A226" t="s">
        <v>308</v>
      </c>
      <c r="B226" t="s">
        <v>81</v>
      </c>
      <c r="C226" t="str">
        <f t="shared" si="3"/>
        <v>Juguetería</v>
      </c>
      <c r="D226" s="24">
        <v>44889</v>
      </c>
      <c r="E226" s="22">
        <v>6534</v>
      </c>
      <c r="F226" t="e" vm="4">
        <v>#VALUE!</v>
      </c>
    </row>
    <row r="227" spans="1:6" x14ac:dyDescent="0.35">
      <c r="A227" t="s">
        <v>309</v>
      </c>
      <c r="B227" t="s">
        <v>425</v>
      </c>
      <c r="C227" t="str">
        <f t="shared" si="3"/>
        <v>Ropa deportiva</v>
      </c>
      <c r="D227" s="24">
        <v>44887</v>
      </c>
      <c r="E227" s="22">
        <v>3167</v>
      </c>
      <c r="F227" t="e" vm="6">
        <v>#VALUE!</v>
      </c>
    </row>
    <row r="228" spans="1:6" x14ac:dyDescent="0.35">
      <c r="A228" t="s">
        <v>310</v>
      </c>
      <c r="B228" t="s">
        <v>110</v>
      </c>
      <c r="C228" t="str">
        <f t="shared" si="3"/>
        <v>Software</v>
      </c>
      <c r="D228" s="24">
        <v>44939</v>
      </c>
      <c r="E228" s="22">
        <v>5089</v>
      </c>
      <c r="F228" t="e" vm="2">
        <v>#VALUE!</v>
      </c>
    </row>
    <row r="229" spans="1:6" x14ac:dyDescent="0.35">
      <c r="A229" t="s">
        <v>311</v>
      </c>
      <c r="B229" t="s">
        <v>361</v>
      </c>
      <c r="C229" t="str">
        <f t="shared" si="3"/>
        <v>Software</v>
      </c>
      <c r="D229" s="24">
        <v>44897</v>
      </c>
      <c r="E229" s="22">
        <v>14449</v>
      </c>
      <c r="F229" t="e" vm="6">
        <v>#VALUE!</v>
      </c>
    </row>
    <row r="230" spans="1:6" x14ac:dyDescent="0.35">
      <c r="A230" t="s">
        <v>312</v>
      </c>
      <c r="B230" t="s">
        <v>305</v>
      </c>
      <c r="C230" t="str">
        <f t="shared" si="3"/>
        <v>Hogar</v>
      </c>
      <c r="D230" s="24">
        <v>44872</v>
      </c>
      <c r="E230" s="22">
        <v>10046</v>
      </c>
      <c r="F230" t="e" vm="4">
        <v>#VALUE!</v>
      </c>
    </row>
    <row r="231" spans="1:6" x14ac:dyDescent="0.35">
      <c r="A231" t="s">
        <v>313</v>
      </c>
      <c r="B231" t="s">
        <v>81</v>
      </c>
      <c r="C231" t="str">
        <f t="shared" si="3"/>
        <v>Juguetería</v>
      </c>
      <c r="D231" s="24">
        <v>44914</v>
      </c>
      <c r="E231" s="22">
        <v>1460</v>
      </c>
      <c r="F231" t="e" vm="4">
        <v>#VALUE!</v>
      </c>
    </row>
    <row r="232" spans="1:6" x14ac:dyDescent="0.35">
      <c r="A232" t="s">
        <v>314</v>
      </c>
      <c r="B232" t="s">
        <v>110</v>
      </c>
      <c r="C232" t="str">
        <f t="shared" si="3"/>
        <v>Software</v>
      </c>
      <c r="D232" s="24">
        <v>44891</v>
      </c>
      <c r="E232" s="22">
        <v>6454</v>
      </c>
      <c r="F232" t="e" vm="2">
        <v>#VALUE!</v>
      </c>
    </row>
    <row r="233" spans="1:6" x14ac:dyDescent="0.35">
      <c r="A233" t="s">
        <v>315</v>
      </c>
      <c r="B233" t="s">
        <v>110</v>
      </c>
      <c r="C233" t="str">
        <f t="shared" si="3"/>
        <v>Software</v>
      </c>
      <c r="D233" s="24">
        <v>44890</v>
      </c>
      <c r="E233" s="22">
        <v>13309</v>
      </c>
      <c r="F233" t="e" vm="2">
        <v>#VALUE!</v>
      </c>
    </row>
    <row r="234" spans="1:6" x14ac:dyDescent="0.35">
      <c r="A234" t="s">
        <v>316</v>
      </c>
      <c r="B234" t="s">
        <v>305</v>
      </c>
      <c r="C234" t="str">
        <f t="shared" si="3"/>
        <v>Hogar</v>
      </c>
      <c r="D234" s="24">
        <v>44951</v>
      </c>
      <c r="E234" s="22">
        <v>16444</v>
      </c>
      <c r="F234" t="e" vm="4">
        <v>#VALUE!</v>
      </c>
    </row>
    <row r="235" spans="1:6" x14ac:dyDescent="0.35">
      <c r="A235" t="s">
        <v>317</v>
      </c>
      <c r="B235" t="s">
        <v>110</v>
      </c>
      <c r="C235" t="str">
        <f t="shared" si="3"/>
        <v>Software</v>
      </c>
      <c r="D235" s="24">
        <v>44898</v>
      </c>
      <c r="E235" s="22">
        <v>8778</v>
      </c>
      <c r="F235" t="e" vm="6">
        <v>#VALUE!</v>
      </c>
    </row>
    <row r="236" spans="1:6" x14ac:dyDescent="0.35">
      <c r="A236" t="s">
        <v>318</v>
      </c>
      <c r="B236" t="s">
        <v>305</v>
      </c>
      <c r="C236" t="str">
        <f t="shared" si="3"/>
        <v>Hogar</v>
      </c>
      <c r="D236" s="24">
        <v>44951</v>
      </c>
      <c r="E236" s="22">
        <v>6182</v>
      </c>
      <c r="F236" t="e" vm="2">
        <v>#VALUE!</v>
      </c>
    </row>
    <row r="237" spans="1:6" x14ac:dyDescent="0.35">
      <c r="A237" t="s">
        <v>319</v>
      </c>
      <c r="B237" t="s">
        <v>127</v>
      </c>
      <c r="C237" t="str">
        <f t="shared" si="3"/>
        <v>Refacciones autos</v>
      </c>
      <c r="D237" s="24">
        <v>44886</v>
      </c>
      <c r="E237" s="22">
        <v>8306</v>
      </c>
      <c r="F237" t="e" vm="4">
        <v>#VALUE!</v>
      </c>
    </row>
    <row r="238" spans="1:6" x14ac:dyDescent="0.35">
      <c r="A238" t="s">
        <v>320</v>
      </c>
      <c r="B238" t="s">
        <v>127</v>
      </c>
      <c r="C238" t="str">
        <f t="shared" si="3"/>
        <v>Refacciones autos</v>
      </c>
      <c r="D238" s="24">
        <v>44919</v>
      </c>
      <c r="E238" s="22">
        <v>4198</v>
      </c>
      <c r="F238" t="e" vm="4">
        <v>#VALUE!</v>
      </c>
    </row>
    <row r="239" spans="1:6" x14ac:dyDescent="0.35">
      <c r="A239" t="s">
        <v>321</v>
      </c>
      <c r="B239" t="s">
        <v>350</v>
      </c>
      <c r="C239" t="str">
        <f t="shared" si="3"/>
        <v>Ropa deportiva</v>
      </c>
      <c r="D239" s="24">
        <v>44908</v>
      </c>
      <c r="E239" s="22">
        <v>10209</v>
      </c>
      <c r="F239" t="e" vm="6">
        <v>#VALUE!</v>
      </c>
    </row>
    <row r="240" spans="1:6" x14ac:dyDescent="0.35">
      <c r="A240" t="s">
        <v>322</v>
      </c>
      <c r="B240" t="s">
        <v>350</v>
      </c>
      <c r="C240" t="str">
        <f t="shared" si="3"/>
        <v>Ropa deportiva</v>
      </c>
      <c r="D240" s="24">
        <v>44954</v>
      </c>
      <c r="E240" s="22">
        <v>19334</v>
      </c>
      <c r="F240" t="e" vm="2">
        <v>#VALUE!</v>
      </c>
    </row>
    <row r="241" spans="1:6" x14ac:dyDescent="0.35">
      <c r="A241" t="s">
        <v>323</v>
      </c>
      <c r="B241" t="s">
        <v>305</v>
      </c>
      <c r="C241" t="str">
        <f t="shared" si="3"/>
        <v>Hogar</v>
      </c>
      <c r="D241" s="24">
        <v>44891</v>
      </c>
      <c r="E241" s="22">
        <v>2264</v>
      </c>
      <c r="F241" t="e" vm="6">
        <v>#VALUE!</v>
      </c>
    </row>
    <row r="242" spans="1:6" x14ac:dyDescent="0.35">
      <c r="A242" t="s">
        <v>324</v>
      </c>
      <c r="B242" t="s">
        <v>81</v>
      </c>
      <c r="C242" t="str">
        <f t="shared" si="3"/>
        <v>Juguetería</v>
      </c>
      <c r="D242" s="24">
        <v>44876</v>
      </c>
      <c r="E242" s="22">
        <v>8211</v>
      </c>
      <c r="F242" t="e" vm="4">
        <v>#VALUE!</v>
      </c>
    </row>
    <row r="243" spans="1:6" x14ac:dyDescent="0.35">
      <c r="A243" t="s">
        <v>325</v>
      </c>
      <c r="B243" t="s">
        <v>305</v>
      </c>
      <c r="C243" t="str">
        <f t="shared" si="3"/>
        <v>Hogar</v>
      </c>
      <c r="D243" s="24">
        <v>44922</v>
      </c>
      <c r="E243" s="22">
        <v>7100</v>
      </c>
      <c r="F243" t="e" vm="2">
        <v>#VALUE!</v>
      </c>
    </row>
    <row r="244" spans="1:6" x14ac:dyDescent="0.35">
      <c r="A244" t="s">
        <v>326</v>
      </c>
      <c r="B244" t="s">
        <v>350</v>
      </c>
      <c r="C244" t="str">
        <f t="shared" si="3"/>
        <v>Ropa deportiva</v>
      </c>
      <c r="D244" s="24">
        <v>44900</v>
      </c>
      <c r="E244" s="22">
        <v>11363</v>
      </c>
      <c r="F244" t="e" vm="4">
        <v>#VALUE!</v>
      </c>
    </row>
    <row r="245" spans="1:6" x14ac:dyDescent="0.35">
      <c r="A245" t="s">
        <v>327</v>
      </c>
      <c r="B245" t="s">
        <v>110</v>
      </c>
      <c r="C245" t="str">
        <f t="shared" si="3"/>
        <v>Software</v>
      </c>
      <c r="D245" s="24">
        <v>44931</v>
      </c>
      <c r="E245" s="22">
        <v>11234</v>
      </c>
      <c r="F245" t="e" vm="4">
        <v>#VALUE!</v>
      </c>
    </row>
    <row r="246" spans="1:6" x14ac:dyDescent="0.35">
      <c r="A246" t="s">
        <v>328</v>
      </c>
      <c r="B246" t="s">
        <v>305</v>
      </c>
      <c r="C246" t="str">
        <f t="shared" si="3"/>
        <v>Hogar</v>
      </c>
      <c r="D246" s="24">
        <v>44943</v>
      </c>
      <c r="E246" s="22">
        <v>3581</v>
      </c>
      <c r="F246" t="e" vm="4">
        <v>#VALUE!</v>
      </c>
    </row>
    <row r="247" spans="1:6" x14ac:dyDescent="0.35">
      <c r="A247" t="s">
        <v>329</v>
      </c>
      <c r="B247" t="s">
        <v>350</v>
      </c>
      <c r="C247" t="str">
        <f t="shared" si="3"/>
        <v>Ropa deportiva</v>
      </c>
      <c r="D247" s="24">
        <v>44873</v>
      </c>
      <c r="E247" s="22">
        <v>13961</v>
      </c>
      <c r="F247" t="e" vm="4">
        <v>#VALUE!</v>
      </c>
    </row>
    <row r="248" spans="1:6" x14ac:dyDescent="0.35">
      <c r="A248" t="s">
        <v>330</v>
      </c>
      <c r="B248" t="s">
        <v>361</v>
      </c>
      <c r="C248" t="str">
        <f t="shared" si="3"/>
        <v>Software</v>
      </c>
      <c r="D248" s="24">
        <v>44912</v>
      </c>
      <c r="E248" s="22">
        <v>13046</v>
      </c>
      <c r="F248" t="e" vm="2">
        <v>#VALUE!</v>
      </c>
    </row>
    <row r="249" spans="1:6" x14ac:dyDescent="0.35">
      <c r="A249" t="s">
        <v>331</v>
      </c>
      <c r="B249" t="s">
        <v>305</v>
      </c>
      <c r="C249" t="str">
        <f t="shared" si="3"/>
        <v>Hogar</v>
      </c>
      <c r="D249" s="24">
        <v>44955</v>
      </c>
      <c r="E249" s="22">
        <v>16251</v>
      </c>
      <c r="F249" t="e" vm="2">
        <v>#VALUE!</v>
      </c>
    </row>
    <row r="250" spans="1:6" x14ac:dyDescent="0.35">
      <c r="A250" t="s">
        <v>332</v>
      </c>
      <c r="B250" t="s">
        <v>110</v>
      </c>
      <c r="C250" t="str">
        <f t="shared" si="3"/>
        <v>Software</v>
      </c>
      <c r="D250" s="24">
        <v>44878</v>
      </c>
      <c r="E250" s="22">
        <v>11325</v>
      </c>
      <c r="F250" t="e" vm="2">
        <v>#VALUE!</v>
      </c>
    </row>
    <row r="251" spans="1:6" x14ac:dyDescent="0.35">
      <c r="A251" t="s">
        <v>333</v>
      </c>
      <c r="B251" t="s">
        <v>110</v>
      </c>
      <c r="C251" t="str">
        <f t="shared" si="3"/>
        <v>Software</v>
      </c>
      <c r="D251" s="24">
        <v>44890</v>
      </c>
      <c r="E251" s="22">
        <v>16792</v>
      </c>
      <c r="F251" t="e" vm="2">
        <v>#VALUE!</v>
      </c>
    </row>
    <row r="252" spans="1:6" x14ac:dyDescent="0.35">
      <c r="A252" t="s">
        <v>334</v>
      </c>
      <c r="B252" t="s">
        <v>127</v>
      </c>
      <c r="C252" t="str">
        <f t="shared" si="3"/>
        <v>Refacciones autos</v>
      </c>
      <c r="D252" s="24">
        <v>44935</v>
      </c>
      <c r="E252" s="22">
        <v>3932</v>
      </c>
      <c r="F252" t="e" vm="4">
        <v>#VALUE!</v>
      </c>
    </row>
    <row r="253" spans="1:6" x14ac:dyDescent="0.35">
      <c r="A253" t="s">
        <v>335</v>
      </c>
      <c r="B253" t="s">
        <v>127</v>
      </c>
      <c r="C253" t="str">
        <f t="shared" si="3"/>
        <v>Refacciones autos</v>
      </c>
      <c r="D253" s="24">
        <v>44933</v>
      </c>
      <c r="E253" s="22">
        <v>2455</v>
      </c>
      <c r="F253" t="e" vm="2">
        <v>#VALUE!</v>
      </c>
    </row>
    <row r="254" spans="1:6" x14ac:dyDescent="0.35">
      <c r="A254" t="s">
        <v>336</v>
      </c>
      <c r="B254" t="s">
        <v>81</v>
      </c>
      <c r="C254" t="str">
        <f t="shared" si="3"/>
        <v>Juguetería</v>
      </c>
      <c r="D254" s="24">
        <v>44879</v>
      </c>
      <c r="E254" s="22">
        <v>17019</v>
      </c>
      <c r="F254" t="e" vm="6">
        <v>#VALUE!</v>
      </c>
    </row>
    <row r="255" spans="1:6" x14ac:dyDescent="0.35">
      <c r="A255" t="s">
        <v>337</v>
      </c>
      <c r="B255" t="s">
        <v>127</v>
      </c>
      <c r="C255" t="str">
        <f t="shared" si="3"/>
        <v>Refacciones autos</v>
      </c>
      <c r="D255" s="24">
        <v>44956</v>
      </c>
      <c r="E255" s="22">
        <v>17263</v>
      </c>
      <c r="F255" t="e" vm="2">
        <v>#VALUE!</v>
      </c>
    </row>
    <row r="256" spans="1:6" x14ac:dyDescent="0.35">
      <c r="A256" t="s">
        <v>338</v>
      </c>
      <c r="B256" t="s">
        <v>361</v>
      </c>
      <c r="C256" t="str">
        <f t="shared" si="3"/>
        <v>Software</v>
      </c>
      <c r="D256" s="24">
        <v>44950</v>
      </c>
      <c r="E256" s="22">
        <v>16448</v>
      </c>
      <c r="F256" t="e" vm="6">
        <v>#VALUE!</v>
      </c>
    </row>
    <row r="257" spans="1:6" x14ac:dyDescent="0.35">
      <c r="A257" t="s">
        <v>339</v>
      </c>
      <c r="B257" t="s">
        <v>425</v>
      </c>
      <c r="C257" t="str">
        <f t="shared" si="3"/>
        <v>Ropa deportiva</v>
      </c>
      <c r="D257" s="24">
        <v>44900</v>
      </c>
      <c r="E257" s="22">
        <v>14743</v>
      </c>
      <c r="F257" t="e" vm="2">
        <v>#VALUE!</v>
      </c>
    </row>
    <row r="258" spans="1:6" x14ac:dyDescent="0.35">
      <c r="A258" t="s">
        <v>340</v>
      </c>
      <c r="B258" t="s">
        <v>110</v>
      </c>
      <c r="C258" t="str">
        <f t="shared" si="3"/>
        <v>Software</v>
      </c>
      <c r="D258" s="24">
        <v>44868</v>
      </c>
      <c r="E258" s="22">
        <v>4909</v>
      </c>
      <c r="F258" t="e" vm="2">
        <v>#VALUE!</v>
      </c>
    </row>
    <row r="259" spans="1:6" x14ac:dyDescent="0.35">
      <c r="A259" t="s">
        <v>341</v>
      </c>
      <c r="B259" t="s">
        <v>425</v>
      </c>
      <c r="C259" t="str">
        <f t="shared" ref="C259:C322" si="4">VLOOKUP(B259,$I$2:$J$9,2,FALSE)</f>
        <v>Ropa deportiva</v>
      </c>
      <c r="D259" s="24">
        <v>44888</v>
      </c>
      <c r="E259" s="22">
        <v>11112</v>
      </c>
      <c r="F259" t="e" vm="2">
        <v>#VALUE!</v>
      </c>
    </row>
    <row r="260" spans="1:6" x14ac:dyDescent="0.35">
      <c r="A260" t="s">
        <v>342</v>
      </c>
      <c r="B260" t="s">
        <v>81</v>
      </c>
      <c r="C260" t="str">
        <f t="shared" si="4"/>
        <v>Juguetería</v>
      </c>
      <c r="D260" s="24">
        <v>44905</v>
      </c>
      <c r="E260" s="22">
        <v>4305</v>
      </c>
      <c r="F260" t="e" vm="2">
        <v>#VALUE!</v>
      </c>
    </row>
    <row r="261" spans="1:6" x14ac:dyDescent="0.35">
      <c r="A261" t="s">
        <v>343</v>
      </c>
      <c r="B261" t="s">
        <v>110</v>
      </c>
      <c r="C261" t="str">
        <f t="shared" si="4"/>
        <v>Software</v>
      </c>
      <c r="D261" s="24">
        <v>44909</v>
      </c>
      <c r="E261" s="22">
        <v>18114</v>
      </c>
      <c r="F261" t="e" vm="4">
        <v>#VALUE!</v>
      </c>
    </row>
    <row r="262" spans="1:6" x14ac:dyDescent="0.35">
      <c r="A262" t="s">
        <v>344</v>
      </c>
      <c r="B262" t="s">
        <v>305</v>
      </c>
      <c r="C262" t="str">
        <f t="shared" si="4"/>
        <v>Hogar</v>
      </c>
      <c r="D262" s="24">
        <v>44952</v>
      </c>
      <c r="E262" s="22">
        <v>2847</v>
      </c>
      <c r="F262" t="e" vm="6">
        <v>#VALUE!</v>
      </c>
    </row>
    <row r="263" spans="1:6" x14ac:dyDescent="0.35">
      <c r="A263" t="s">
        <v>345</v>
      </c>
      <c r="B263" t="s">
        <v>110</v>
      </c>
      <c r="C263" t="str">
        <f t="shared" si="4"/>
        <v>Software</v>
      </c>
      <c r="D263" s="24">
        <v>44888</v>
      </c>
      <c r="E263" s="22">
        <v>5832</v>
      </c>
      <c r="F263" t="e" vm="6">
        <v>#VALUE!</v>
      </c>
    </row>
    <row r="264" spans="1:6" x14ac:dyDescent="0.35">
      <c r="A264" t="s">
        <v>346</v>
      </c>
      <c r="B264" t="s">
        <v>350</v>
      </c>
      <c r="C264" t="str">
        <f t="shared" si="4"/>
        <v>Ropa deportiva</v>
      </c>
      <c r="D264" s="24">
        <v>44894</v>
      </c>
      <c r="E264" s="22">
        <v>8181</v>
      </c>
      <c r="F264" t="e" vm="6">
        <v>#VALUE!</v>
      </c>
    </row>
    <row r="265" spans="1:6" x14ac:dyDescent="0.35">
      <c r="A265" t="s">
        <v>347</v>
      </c>
      <c r="B265" t="s">
        <v>110</v>
      </c>
      <c r="C265" t="str">
        <f t="shared" si="4"/>
        <v>Software</v>
      </c>
      <c r="D265" s="24">
        <v>44937</v>
      </c>
      <c r="E265" s="22">
        <v>7917</v>
      </c>
      <c r="F265" t="e" vm="6">
        <v>#VALUE!</v>
      </c>
    </row>
    <row r="266" spans="1:6" x14ac:dyDescent="0.35">
      <c r="A266" t="s">
        <v>348</v>
      </c>
      <c r="B266" t="s">
        <v>425</v>
      </c>
      <c r="C266" t="str">
        <f t="shared" si="4"/>
        <v>Ropa deportiva</v>
      </c>
      <c r="D266" s="24">
        <v>44916</v>
      </c>
      <c r="E266" s="22">
        <v>13125</v>
      </c>
      <c r="F266" t="e" vm="2">
        <v>#VALUE!</v>
      </c>
    </row>
    <row r="267" spans="1:6" x14ac:dyDescent="0.35">
      <c r="A267" t="s">
        <v>349</v>
      </c>
      <c r="B267" t="s">
        <v>81</v>
      </c>
      <c r="C267" t="str">
        <f t="shared" si="4"/>
        <v>Juguetería</v>
      </c>
      <c r="D267" s="24">
        <v>44946</v>
      </c>
      <c r="E267" s="22">
        <v>3063</v>
      </c>
      <c r="F267" t="e" vm="2">
        <v>#VALUE!</v>
      </c>
    </row>
    <row r="268" spans="1:6" x14ac:dyDescent="0.35">
      <c r="A268" t="s">
        <v>351</v>
      </c>
      <c r="B268" t="s">
        <v>110</v>
      </c>
      <c r="C268" t="str">
        <f t="shared" si="4"/>
        <v>Software</v>
      </c>
      <c r="D268" s="24">
        <v>44896</v>
      </c>
      <c r="E268" s="22">
        <v>3512</v>
      </c>
      <c r="F268" t="e" vm="6">
        <v>#VALUE!</v>
      </c>
    </row>
    <row r="269" spans="1:6" x14ac:dyDescent="0.35">
      <c r="A269" t="s">
        <v>352</v>
      </c>
      <c r="B269" t="s">
        <v>81</v>
      </c>
      <c r="C269" t="str">
        <f t="shared" si="4"/>
        <v>Juguetería</v>
      </c>
      <c r="D269" s="24">
        <v>44928</v>
      </c>
      <c r="E269" s="22">
        <v>17207</v>
      </c>
      <c r="F269" t="e" vm="6">
        <v>#VALUE!</v>
      </c>
    </row>
    <row r="270" spans="1:6" x14ac:dyDescent="0.35">
      <c r="A270" t="s">
        <v>353</v>
      </c>
      <c r="B270" t="s">
        <v>425</v>
      </c>
      <c r="C270" t="str">
        <f t="shared" si="4"/>
        <v>Ropa deportiva</v>
      </c>
      <c r="D270" s="24">
        <v>44918</v>
      </c>
      <c r="E270" s="22">
        <v>3978</v>
      </c>
      <c r="F270" t="e" vm="4">
        <v>#VALUE!</v>
      </c>
    </row>
    <row r="271" spans="1:6" x14ac:dyDescent="0.35">
      <c r="A271" t="s">
        <v>354</v>
      </c>
      <c r="B271" t="s">
        <v>110</v>
      </c>
      <c r="C271" t="str">
        <f t="shared" si="4"/>
        <v>Software</v>
      </c>
      <c r="D271" s="24">
        <v>44952</v>
      </c>
      <c r="E271" s="22">
        <v>2325</v>
      </c>
      <c r="F271" t="e" vm="4">
        <v>#VALUE!</v>
      </c>
    </row>
    <row r="272" spans="1:6" x14ac:dyDescent="0.35">
      <c r="A272" t="s">
        <v>355</v>
      </c>
      <c r="B272" t="s">
        <v>425</v>
      </c>
      <c r="C272" t="str">
        <f t="shared" si="4"/>
        <v>Ropa deportiva</v>
      </c>
      <c r="D272" s="24">
        <v>44874</v>
      </c>
      <c r="E272" s="22">
        <v>10022</v>
      </c>
      <c r="F272" t="e" vm="6">
        <v>#VALUE!</v>
      </c>
    </row>
    <row r="273" spans="1:6" x14ac:dyDescent="0.35">
      <c r="A273" t="s">
        <v>356</v>
      </c>
      <c r="B273" t="s">
        <v>361</v>
      </c>
      <c r="C273" t="str">
        <f t="shared" si="4"/>
        <v>Software</v>
      </c>
      <c r="D273" s="24">
        <v>44934</v>
      </c>
      <c r="E273" s="22">
        <v>14535</v>
      </c>
      <c r="F273" t="e" vm="4">
        <v>#VALUE!</v>
      </c>
    </row>
    <row r="274" spans="1:6" x14ac:dyDescent="0.35">
      <c r="A274" t="s">
        <v>357</v>
      </c>
      <c r="B274" t="s">
        <v>305</v>
      </c>
      <c r="C274" t="str">
        <f t="shared" si="4"/>
        <v>Hogar</v>
      </c>
      <c r="D274" s="24">
        <v>44928</v>
      </c>
      <c r="E274" s="22">
        <v>8991</v>
      </c>
      <c r="F274" t="e" vm="6">
        <v>#VALUE!</v>
      </c>
    </row>
    <row r="275" spans="1:6" x14ac:dyDescent="0.35">
      <c r="A275" t="s">
        <v>358</v>
      </c>
      <c r="B275" t="s">
        <v>127</v>
      </c>
      <c r="C275" t="str">
        <f t="shared" si="4"/>
        <v>Refacciones autos</v>
      </c>
      <c r="D275" s="24">
        <v>44918</v>
      </c>
      <c r="E275" s="22">
        <v>7126</v>
      </c>
      <c r="F275" t="e" vm="2">
        <v>#VALUE!</v>
      </c>
    </row>
    <row r="276" spans="1:6" x14ac:dyDescent="0.35">
      <c r="A276" t="s">
        <v>359</v>
      </c>
      <c r="B276" t="s">
        <v>305</v>
      </c>
      <c r="C276" t="str">
        <f t="shared" si="4"/>
        <v>Hogar</v>
      </c>
      <c r="D276" s="24">
        <v>44884</v>
      </c>
      <c r="E276" s="22">
        <v>3725</v>
      </c>
      <c r="F276" t="e" vm="2">
        <v>#VALUE!</v>
      </c>
    </row>
    <row r="277" spans="1:6" x14ac:dyDescent="0.35">
      <c r="A277" t="s">
        <v>360</v>
      </c>
      <c r="B277" t="s">
        <v>425</v>
      </c>
      <c r="C277" t="str">
        <f t="shared" si="4"/>
        <v>Ropa deportiva</v>
      </c>
      <c r="D277" s="24">
        <v>44956</v>
      </c>
      <c r="E277" s="22">
        <v>17623</v>
      </c>
      <c r="F277" t="e" vm="4">
        <v>#VALUE!</v>
      </c>
    </row>
    <row r="278" spans="1:6" x14ac:dyDescent="0.35">
      <c r="A278" t="s">
        <v>362</v>
      </c>
      <c r="B278" t="s">
        <v>305</v>
      </c>
      <c r="C278" t="str">
        <f t="shared" si="4"/>
        <v>Hogar</v>
      </c>
      <c r="D278" s="24">
        <v>44941</v>
      </c>
      <c r="E278" s="22">
        <v>14648</v>
      </c>
      <c r="F278" t="e" vm="6">
        <v>#VALUE!</v>
      </c>
    </row>
    <row r="279" spans="1:6" x14ac:dyDescent="0.35">
      <c r="A279" t="s">
        <v>363</v>
      </c>
      <c r="B279" t="s">
        <v>110</v>
      </c>
      <c r="C279" t="str">
        <f t="shared" si="4"/>
        <v>Software</v>
      </c>
      <c r="D279" s="24">
        <v>44898</v>
      </c>
      <c r="E279" s="22">
        <v>15490</v>
      </c>
      <c r="F279" t="e" vm="2">
        <v>#VALUE!</v>
      </c>
    </row>
    <row r="280" spans="1:6" x14ac:dyDescent="0.35">
      <c r="A280" t="s">
        <v>364</v>
      </c>
      <c r="B280" t="s">
        <v>110</v>
      </c>
      <c r="C280" t="str">
        <f t="shared" si="4"/>
        <v>Software</v>
      </c>
      <c r="D280" s="24">
        <v>44878</v>
      </c>
      <c r="E280" s="22">
        <v>16712</v>
      </c>
      <c r="F280" t="e" vm="4">
        <v>#VALUE!</v>
      </c>
    </row>
    <row r="281" spans="1:6" x14ac:dyDescent="0.35">
      <c r="A281" t="s">
        <v>365</v>
      </c>
      <c r="B281" t="s">
        <v>350</v>
      </c>
      <c r="C281" t="str">
        <f t="shared" si="4"/>
        <v>Ropa deportiva</v>
      </c>
      <c r="D281" s="24">
        <v>44946</v>
      </c>
      <c r="E281" s="22">
        <v>5865</v>
      </c>
      <c r="F281" t="e" vm="6">
        <v>#VALUE!</v>
      </c>
    </row>
    <row r="282" spans="1:6" x14ac:dyDescent="0.35">
      <c r="A282" t="s">
        <v>366</v>
      </c>
      <c r="B282" t="s">
        <v>350</v>
      </c>
      <c r="C282" t="str">
        <f t="shared" si="4"/>
        <v>Ropa deportiva</v>
      </c>
      <c r="D282" s="24">
        <v>44872</v>
      </c>
      <c r="E282" s="22">
        <v>12072</v>
      </c>
      <c r="F282" t="e" vm="2">
        <v>#VALUE!</v>
      </c>
    </row>
    <row r="283" spans="1:6" x14ac:dyDescent="0.35">
      <c r="A283" t="s">
        <v>367</v>
      </c>
      <c r="B283" t="s">
        <v>81</v>
      </c>
      <c r="C283" t="str">
        <f t="shared" si="4"/>
        <v>Juguetería</v>
      </c>
      <c r="D283" s="24">
        <v>44889</v>
      </c>
      <c r="E283" s="22">
        <v>2512</v>
      </c>
      <c r="F283" t="e" vm="2">
        <v>#VALUE!</v>
      </c>
    </row>
    <row r="284" spans="1:6" x14ac:dyDescent="0.35">
      <c r="A284" t="s">
        <v>368</v>
      </c>
      <c r="B284" t="s">
        <v>127</v>
      </c>
      <c r="C284" t="str">
        <f t="shared" si="4"/>
        <v>Refacciones autos</v>
      </c>
      <c r="D284" s="24">
        <v>44880</v>
      </c>
      <c r="E284" s="22">
        <v>19485</v>
      </c>
      <c r="F284" t="e" vm="2">
        <v>#VALUE!</v>
      </c>
    </row>
    <row r="285" spans="1:6" x14ac:dyDescent="0.35">
      <c r="A285" t="s">
        <v>369</v>
      </c>
      <c r="B285" t="s">
        <v>81</v>
      </c>
      <c r="C285" t="str">
        <f t="shared" si="4"/>
        <v>Juguetería</v>
      </c>
      <c r="D285" s="24">
        <v>44930</v>
      </c>
      <c r="E285" s="22">
        <v>11974</v>
      </c>
      <c r="F285" t="e" vm="6">
        <v>#VALUE!</v>
      </c>
    </row>
    <row r="286" spans="1:6" x14ac:dyDescent="0.35">
      <c r="A286" t="s">
        <v>370</v>
      </c>
      <c r="B286" t="s">
        <v>425</v>
      </c>
      <c r="C286" t="str">
        <f t="shared" si="4"/>
        <v>Ropa deportiva</v>
      </c>
      <c r="D286" s="24">
        <v>44914</v>
      </c>
      <c r="E286" s="22">
        <v>1042</v>
      </c>
      <c r="F286" t="e" vm="4">
        <v>#VALUE!</v>
      </c>
    </row>
    <row r="287" spans="1:6" x14ac:dyDescent="0.35">
      <c r="A287" t="s">
        <v>371</v>
      </c>
      <c r="B287" t="s">
        <v>127</v>
      </c>
      <c r="C287" t="str">
        <f t="shared" si="4"/>
        <v>Refacciones autos</v>
      </c>
      <c r="D287" s="24">
        <v>44892</v>
      </c>
      <c r="E287" s="22">
        <v>14212</v>
      </c>
      <c r="F287" t="e" vm="2">
        <v>#VALUE!</v>
      </c>
    </row>
    <row r="288" spans="1:6" x14ac:dyDescent="0.35">
      <c r="A288" t="s">
        <v>372</v>
      </c>
      <c r="B288" t="s">
        <v>425</v>
      </c>
      <c r="C288" t="str">
        <f t="shared" si="4"/>
        <v>Ropa deportiva</v>
      </c>
      <c r="D288" s="24">
        <v>44949</v>
      </c>
      <c r="E288" s="22">
        <v>15798</v>
      </c>
      <c r="F288" t="e" vm="2">
        <v>#VALUE!</v>
      </c>
    </row>
    <row r="289" spans="1:6" x14ac:dyDescent="0.35">
      <c r="A289" t="s">
        <v>373</v>
      </c>
      <c r="B289" t="s">
        <v>350</v>
      </c>
      <c r="C289" t="str">
        <f t="shared" si="4"/>
        <v>Ropa deportiva</v>
      </c>
      <c r="D289" s="24">
        <v>44932</v>
      </c>
      <c r="E289" s="22">
        <v>2448</v>
      </c>
      <c r="F289" t="e" vm="6">
        <v>#VALUE!</v>
      </c>
    </row>
    <row r="290" spans="1:6" x14ac:dyDescent="0.35">
      <c r="A290" t="s">
        <v>374</v>
      </c>
      <c r="B290" t="s">
        <v>425</v>
      </c>
      <c r="C290" t="str">
        <f t="shared" si="4"/>
        <v>Ropa deportiva</v>
      </c>
      <c r="D290" s="24">
        <v>44893</v>
      </c>
      <c r="E290" s="22">
        <v>2633</v>
      </c>
      <c r="F290" t="e" vm="6">
        <v>#VALUE!</v>
      </c>
    </row>
    <row r="291" spans="1:6" x14ac:dyDescent="0.35">
      <c r="A291" t="s">
        <v>375</v>
      </c>
      <c r="B291" t="s">
        <v>361</v>
      </c>
      <c r="C291" t="str">
        <f t="shared" si="4"/>
        <v>Software</v>
      </c>
      <c r="D291" s="24">
        <v>44933</v>
      </c>
      <c r="E291" s="22">
        <v>10318</v>
      </c>
      <c r="F291" t="e" vm="4">
        <v>#VALUE!</v>
      </c>
    </row>
    <row r="292" spans="1:6" x14ac:dyDescent="0.35">
      <c r="A292" t="s">
        <v>376</v>
      </c>
      <c r="B292" t="s">
        <v>305</v>
      </c>
      <c r="C292" t="str">
        <f t="shared" si="4"/>
        <v>Hogar</v>
      </c>
      <c r="D292" s="24">
        <v>44893</v>
      </c>
      <c r="E292" s="22">
        <v>7409</v>
      </c>
      <c r="F292" t="e" vm="6">
        <v>#VALUE!</v>
      </c>
    </row>
    <row r="293" spans="1:6" x14ac:dyDescent="0.35">
      <c r="A293" t="s">
        <v>377</v>
      </c>
      <c r="B293" t="s">
        <v>127</v>
      </c>
      <c r="C293" t="str">
        <f t="shared" si="4"/>
        <v>Refacciones autos</v>
      </c>
      <c r="D293" s="24">
        <v>44908</v>
      </c>
      <c r="E293" s="22">
        <v>15930</v>
      </c>
      <c r="F293" t="e" vm="2">
        <v>#VALUE!</v>
      </c>
    </row>
    <row r="294" spans="1:6" x14ac:dyDescent="0.35">
      <c r="A294" t="s">
        <v>378</v>
      </c>
      <c r="B294" t="s">
        <v>350</v>
      </c>
      <c r="C294" t="str">
        <f t="shared" si="4"/>
        <v>Ropa deportiva</v>
      </c>
      <c r="D294" s="24">
        <v>44908</v>
      </c>
      <c r="E294" s="22">
        <v>12780</v>
      </c>
      <c r="F294" t="e" vm="2">
        <v>#VALUE!</v>
      </c>
    </row>
    <row r="295" spans="1:6" x14ac:dyDescent="0.35">
      <c r="A295" t="s">
        <v>379</v>
      </c>
      <c r="B295" t="s">
        <v>305</v>
      </c>
      <c r="C295" t="str">
        <f t="shared" si="4"/>
        <v>Hogar</v>
      </c>
      <c r="D295" s="24">
        <v>44950</v>
      </c>
      <c r="E295" s="22">
        <v>11660</v>
      </c>
      <c r="F295" t="e" vm="2">
        <v>#VALUE!</v>
      </c>
    </row>
    <row r="296" spans="1:6" x14ac:dyDescent="0.35">
      <c r="A296" t="s">
        <v>380</v>
      </c>
      <c r="B296" t="s">
        <v>110</v>
      </c>
      <c r="C296" t="str">
        <f t="shared" si="4"/>
        <v>Software</v>
      </c>
      <c r="D296" s="24">
        <v>44890</v>
      </c>
      <c r="E296" s="22">
        <v>7233</v>
      </c>
      <c r="F296" t="e" vm="4">
        <v>#VALUE!</v>
      </c>
    </row>
    <row r="297" spans="1:6" x14ac:dyDescent="0.35">
      <c r="A297" t="s">
        <v>381</v>
      </c>
      <c r="B297" t="s">
        <v>361</v>
      </c>
      <c r="C297" t="str">
        <f t="shared" si="4"/>
        <v>Software</v>
      </c>
      <c r="D297" s="24">
        <v>44949</v>
      </c>
      <c r="E297" s="22">
        <v>11687</v>
      </c>
      <c r="F297" t="e" vm="4">
        <v>#VALUE!</v>
      </c>
    </row>
    <row r="298" spans="1:6" x14ac:dyDescent="0.35">
      <c r="A298" t="s">
        <v>382</v>
      </c>
      <c r="B298" t="s">
        <v>425</v>
      </c>
      <c r="C298" t="str">
        <f t="shared" si="4"/>
        <v>Ropa deportiva</v>
      </c>
      <c r="D298" s="24">
        <v>44873</v>
      </c>
      <c r="E298" s="22">
        <v>11959</v>
      </c>
      <c r="F298" t="e" vm="4">
        <v>#VALUE!</v>
      </c>
    </row>
    <row r="299" spans="1:6" x14ac:dyDescent="0.35">
      <c r="A299" t="s">
        <v>383</v>
      </c>
      <c r="B299" t="s">
        <v>425</v>
      </c>
      <c r="C299" t="str">
        <f t="shared" si="4"/>
        <v>Ropa deportiva</v>
      </c>
      <c r="D299" s="24">
        <v>44904</v>
      </c>
      <c r="E299" s="22">
        <v>2220</v>
      </c>
      <c r="F299" t="e" vm="2">
        <v>#VALUE!</v>
      </c>
    </row>
    <row r="300" spans="1:6" x14ac:dyDescent="0.35">
      <c r="A300" t="s">
        <v>384</v>
      </c>
      <c r="B300" t="s">
        <v>110</v>
      </c>
      <c r="C300" t="str">
        <f t="shared" si="4"/>
        <v>Software</v>
      </c>
      <c r="D300" s="24">
        <v>44905</v>
      </c>
      <c r="E300" s="22">
        <v>14250</v>
      </c>
      <c r="F300" t="e" vm="6">
        <v>#VALUE!</v>
      </c>
    </row>
    <row r="301" spans="1:6" x14ac:dyDescent="0.35">
      <c r="A301" t="s">
        <v>385</v>
      </c>
      <c r="B301" t="s">
        <v>127</v>
      </c>
      <c r="C301" t="str">
        <f t="shared" si="4"/>
        <v>Refacciones autos</v>
      </c>
      <c r="D301" s="24">
        <v>44900</v>
      </c>
      <c r="E301" s="22">
        <v>11253</v>
      </c>
      <c r="F301" t="e" vm="4">
        <v>#VALUE!</v>
      </c>
    </row>
    <row r="302" spans="1:6" x14ac:dyDescent="0.35">
      <c r="A302" t="s">
        <v>386</v>
      </c>
      <c r="B302" t="s">
        <v>305</v>
      </c>
      <c r="C302" t="str">
        <f t="shared" si="4"/>
        <v>Hogar</v>
      </c>
      <c r="D302" s="24">
        <v>44917</v>
      </c>
      <c r="E302" s="22">
        <v>3477</v>
      </c>
      <c r="F302" t="e" vm="2">
        <v>#VALUE!</v>
      </c>
    </row>
    <row r="303" spans="1:6" x14ac:dyDescent="0.35">
      <c r="A303" t="s">
        <v>387</v>
      </c>
      <c r="B303" t="s">
        <v>127</v>
      </c>
      <c r="C303" t="str">
        <f t="shared" si="4"/>
        <v>Refacciones autos</v>
      </c>
      <c r="D303" s="24">
        <v>44931</v>
      </c>
      <c r="E303" s="22">
        <v>1824</v>
      </c>
      <c r="F303" t="e" vm="2">
        <v>#VALUE!</v>
      </c>
    </row>
    <row r="304" spans="1:6" x14ac:dyDescent="0.35">
      <c r="A304" t="s">
        <v>388</v>
      </c>
      <c r="B304" t="s">
        <v>110</v>
      </c>
      <c r="C304" t="str">
        <f t="shared" si="4"/>
        <v>Software</v>
      </c>
      <c r="D304" s="24">
        <v>44935</v>
      </c>
      <c r="E304" s="22">
        <v>19113</v>
      </c>
      <c r="F304" t="e" vm="6">
        <v>#VALUE!</v>
      </c>
    </row>
    <row r="305" spans="1:6" x14ac:dyDescent="0.35">
      <c r="A305" t="s">
        <v>389</v>
      </c>
      <c r="B305" t="s">
        <v>350</v>
      </c>
      <c r="C305" t="str">
        <f t="shared" si="4"/>
        <v>Ropa deportiva</v>
      </c>
      <c r="D305" s="24">
        <v>44902</v>
      </c>
      <c r="E305" s="22">
        <v>18004</v>
      </c>
      <c r="F305" t="e" vm="4">
        <v>#VALUE!</v>
      </c>
    </row>
    <row r="306" spans="1:6" x14ac:dyDescent="0.35">
      <c r="A306" t="s">
        <v>390</v>
      </c>
      <c r="B306" t="s">
        <v>81</v>
      </c>
      <c r="C306" t="str">
        <f t="shared" si="4"/>
        <v>Juguetería</v>
      </c>
      <c r="D306" s="24">
        <v>44941</v>
      </c>
      <c r="E306" s="22">
        <v>4734</v>
      </c>
      <c r="F306" t="e" vm="6">
        <v>#VALUE!</v>
      </c>
    </row>
    <row r="307" spans="1:6" x14ac:dyDescent="0.35">
      <c r="A307" t="s">
        <v>391</v>
      </c>
      <c r="B307" t="s">
        <v>305</v>
      </c>
      <c r="C307" t="str">
        <f t="shared" si="4"/>
        <v>Hogar</v>
      </c>
      <c r="D307" s="24">
        <v>44872</v>
      </c>
      <c r="E307" s="22">
        <v>17772</v>
      </c>
      <c r="F307" t="e" vm="4">
        <v>#VALUE!</v>
      </c>
    </row>
    <row r="308" spans="1:6" x14ac:dyDescent="0.35">
      <c r="A308" t="s">
        <v>392</v>
      </c>
      <c r="B308" t="s">
        <v>110</v>
      </c>
      <c r="C308" t="str">
        <f t="shared" si="4"/>
        <v>Software</v>
      </c>
      <c r="D308" s="24">
        <v>44893</v>
      </c>
      <c r="E308" s="22">
        <v>13609</v>
      </c>
      <c r="F308" t="e" vm="6">
        <v>#VALUE!</v>
      </c>
    </row>
    <row r="309" spans="1:6" x14ac:dyDescent="0.35">
      <c r="A309" t="s">
        <v>393</v>
      </c>
      <c r="B309" t="s">
        <v>127</v>
      </c>
      <c r="C309" t="str">
        <f t="shared" si="4"/>
        <v>Refacciones autos</v>
      </c>
      <c r="D309" s="24">
        <v>44947</v>
      </c>
      <c r="E309" s="22">
        <v>13799</v>
      </c>
      <c r="F309" t="e" vm="6">
        <v>#VALUE!</v>
      </c>
    </row>
    <row r="310" spans="1:6" x14ac:dyDescent="0.35">
      <c r="A310" t="s">
        <v>394</v>
      </c>
      <c r="B310" t="s">
        <v>81</v>
      </c>
      <c r="C310" t="str">
        <f t="shared" si="4"/>
        <v>Juguetería</v>
      </c>
      <c r="D310" s="24">
        <v>44879</v>
      </c>
      <c r="E310" s="22">
        <v>19248</v>
      </c>
      <c r="F310" t="e" vm="2">
        <v>#VALUE!</v>
      </c>
    </row>
    <row r="311" spans="1:6" x14ac:dyDescent="0.35">
      <c r="A311" t="s">
        <v>395</v>
      </c>
      <c r="B311" t="s">
        <v>127</v>
      </c>
      <c r="C311" t="str">
        <f t="shared" si="4"/>
        <v>Refacciones autos</v>
      </c>
      <c r="D311" s="24">
        <v>44948</v>
      </c>
      <c r="E311" s="22">
        <v>9150</v>
      </c>
      <c r="F311" t="e" vm="6">
        <v>#VALUE!</v>
      </c>
    </row>
    <row r="312" spans="1:6" x14ac:dyDescent="0.35">
      <c r="A312" t="s">
        <v>396</v>
      </c>
      <c r="B312" t="s">
        <v>305</v>
      </c>
      <c r="C312" t="str">
        <f t="shared" si="4"/>
        <v>Hogar</v>
      </c>
      <c r="D312" s="24">
        <v>44949</v>
      </c>
      <c r="E312" s="22">
        <v>15516</v>
      </c>
      <c r="F312" t="e" vm="4">
        <v>#VALUE!</v>
      </c>
    </row>
    <row r="313" spans="1:6" x14ac:dyDescent="0.35">
      <c r="A313" t="s">
        <v>397</v>
      </c>
      <c r="B313" t="s">
        <v>305</v>
      </c>
      <c r="C313" t="str">
        <f t="shared" si="4"/>
        <v>Hogar</v>
      </c>
      <c r="D313" s="24">
        <v>44899</v>
      </c>
      <c r="E313" s="22">
        <v>10301</v>
      </c>
      <c r="F313" t="e" vm="6">
        <v>#VALUE!</v>
      </c>
    </row>
    <row r="314" spans="1:6" x14ac:dyDescent="0.35">
      <c r="A314" t="s">
        <v>398</v>
      </c>
      <c r="B314" t="s">
        <v>81</v>
      </c>
      <c r="C314" t="str">
        <f t="shared" si="4"/>
        <v>Juguetería</v>
      </c>
      <c r="D314" s="24">
        <v>44890</v>
      </c>
      <c r="E314" s="22">
        <v>2057</v>
      </c>
      <c r="F314" t="e" vm="4">
        <v>#VALUE!</v>
      </c>
    </row>
    <row r="315" spans="1:6" x14ac:dyDescent="0.35">
      <c r="A315" t="s">
        <v>399</v>
      </c>
      <c r="B315" t="s">
        <v>305</v>
      </c>
      <c r="C315" t="str">
        <f t="shared" si="4"/>
        <v>Hogar</v>
      </c>
      <c r="D315" s="24">
        <v>44920</v>
      </c>
      <c r="E315" s="22">
        <v>4331</v>
      </c>
      <c r="F315" t="e" vm="6">
        <v>#VALUE!</v>
      </c>
    </row>
    <row r="316" spans="1:6" x14ac:dyDescent="0.35">
      <c r="A316" t="s">
        <v>400</v>
      </c>
      <c r="B316" t="s">
        <v>425</v>
      </c>
      <c r="C316" t="str">
        <f t="shared" si="4"/>
        <v>Ropa deportiva</v>
      </c>
      <c r="D316" s="24">
        <v>44951</v>
      </c>
      <c r="E316" s="22">
        <v>14287</v>
      </c>
      <c r="F316" t="e" vm="4">
        <v>#VALUE!</v>
      </c>
    </row>
    <row r="317" spans="1:6" x14ac:dyDescent="0.35">
      <c r="A317" t="s">
        <v>401</v>
      </c>
      <c r="B317" t="s">
        <v>127</v>
      </c>
      <c r="C317" t="str">
        <f t="shared" si="4"/>
        <v>Refacciones autos</v>
      </c>
      <c r="D317" s="24">
        <v>44927</v>
      </c>
      <c r="E317" s="22">
        <v>18641</v>
      </c>
      <c r="F317" t="e" vm="6">
        <v>#VALUE!</v>
      </c>
    </row>
    <row r="318" spans="1:6" x14ac:dyDescent="0.35">
      <c r="A318" t="s">
        <v>402</v>
      </c>
      <c r="B318" t="s">
        <v>425</v>
      </c>
      <c r="C318" t="str">
        <f t="shared" si="4"/>
        <v>Ropa deportiva</v>
      </c>
      <c r="D318" s="24">
        <v>44895</v>
      </c>
      <c r="E318" s="22">
        <v>6234</v>
      </c>
      <c r="F318" t="e" vm="4">
        <v>#VALUE!</v>
      </c>
    </row>
    <row r="319" spans="1:6" x14ac:dyDescent="0.35">
      <c r="A319" t="s">
        <v>403</v>
      </c>
      <c r="B319" t="s">
        <v>425</v>
      </c>
      <c r="C319" t="str">
        <f t="shared" si="4"/>
        <v>Ropa deportiva</v>
      </c>
      <c r="D319" s="24">
        <v>44873</v>
      </c>
      <c r="E319" s="22">
        <v>2398</v>
      </c>
      <c r="F319" t="e" vm="6">
        <v>#VALUE!</v>
      </c>
    </row>
    <row r="320" spans="1:6" x14ac:dyDescent="0.35">
      <c r="A320" t="s">
        <v>404</v>
      </c>
      <c r="B320" t="s">
        <v>361</v>
      </c>
      <c r="C320" t="str">
        <f t="shared" si="4"/>
        <v>Software</v>
      </c>
      <c r="D320" s="24">
        <v>44948</v>
      </c>
      <c r="E320" s="22">
        <v>12325</v>
      </c>
      <c r="F320" t="e" vm="6">
        <v>#VALUE!</v>
      </c>
    </row>
    <row r="321" spans="1:6" x14ac:dyDescent="0.35">
      <c r="A321" t="s">
        <v>405</v>
      </c>
      <c r="B321" t="s">
        <v>425</v>
      </c>
      <c r="C321" t="str">
        <f t="shared" si="4"/>
        <v>Ropa deportiva</v>
      </c>
      <c r="D321" s="24">
        <v>44932</v>
      </c>
      <c r="E321" s="22">
        <v>6392</v>
      </c>
      <c r="F321" t="e" vm="6">
        <v>#VALUE!</v>
      </c>
    </row>
    <row r="322" spans="1:6" x14ac:dyDescent="0.35">
      <c r="A322" t="s">
        <v>406</v>
      </c>
      <c r="B322" t="s">
        <v>425</v>
      </c>
      <c r="C322" t="str">
        <f t="shared" si="4"/>
        <v>Ropa deportiva</v>
      </c>
      <c r="D322" s="24">
        <v>44885</v>
      </c>
      <c r="E322" s="22">
        <v>9859</v>
      </c>
      <c r="F322" t="e" vm="6">
        <v>#VALUE!</v>
      </c>
    </row>
    <row r="323" spans="1:6" x14ac:dyDescent="0.35">
      <c r="A323" t="s">
        <v>407</v>
      </c>
      <c r="B323" t="s">
        <v>127</v>
      </c>
      <c r="C323" t="str">
        <f t="shared" ref="C323" si="5">VLOOKUP(B323,$I$2:$J$9,2,FALSE)</f>
        <v>Refacciones autos</v>
      </c>
      <c r="D323" s="24">
        <v>44945</v>
      </c>
      <c r="E323" s="22">
        <v>15964</v>
      </c>
      <c r="F323" t="e" vm="2">
        <v>#VALUE!</v>
      </c>
    </row>
  </sheetData>
  <hyperlinks>
    <hyperlink ref="G1" location="'Lo que aprenderás'!A1" display="Inicio" xr:uid="{E3F192A4-C3A5-40E3-8172-8DD42493D00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482B0-1BCD-4B7B-9696-C5DA9B432598}">
  <sheetPr codeName="Hoja2"/>
  <dimension ref="A1:D31"/>
  <sheetViews>
    <sheetView zoomScale="124" zoomScaleNormal="175" workbookViewId="0">
      <selection activeCell="A2" sqref="A2"/>
    </sheetView>
  </sheetViews>
  <sheetFormatPr baseColWidth="10" defaultRowHeight="14.5" x14ac:dyDescent="0.35"/>
  <cols>
    <col min="1" max="1" width="11.54296875" bestFit="1" customWidth="1"/>
    <col min="2" max="2" width="9.81640625" bestFit="1" customWidth="1"/>
    <col min="3" max="3" width="11.1796875" bestFit="1" customWidth="1"/>
    <col min="4" max="4" width="13" bestFit="1" customWidth="1"/>
    <col min="5" max="5" width="7.1796875" customWidth="1"/>
    <col min="6" max="6" width="10.453125" customWidth="1"/>
    <col min="7" max="7" width="11.1796875" bestFit="1" customWidth="1"/>
    <col min="8" max="8" width="10.453125" customWidth="1"/>
  </cols>
  <sheetData>
    <row r="1" spans="1:4" ht="18.5" x14ac:dyDescent="0.45">
      <c r="A1" s="67" t="s">
        <v>804</v>
      </c>
      <c r="B1" s="19"/>
      <c r="C1" s="19"/>
      <c r="D1" s="19"/>
    </row>
    <row r="2" spans="1:4" x14ac:dyDescent="0.35">
      <c r="A2" s="12" t="s">
        <v>35</v>
      </c>
    </row>
    <row r="4" spans="1:4" x14ac:dyDescent="0.35">
      <c r="B4" s="80" t="s">
        <v>805</v>
      </c>
      <c r="C4" s="80"/>
    </row>
    <row r="5" spans="1:4" x14ac:dyDescent="0.35">
      <c r="B5" s="74" t="s">
        <v>782</v>
      </c>
      <c r="C5" s="74" t="s">
        <v>806</v>
      </c>
    </row>
    <row r="6" spans="1:4" x14ac:dyDescent="0.35">
      <c r="B6" s="74">
        <v>50</v>
      </c>
      <c r="C6" s="75">
        <v>1500</v>
      </c>
    </row>
    <row r="7" spans="1:4" x14ac:dyDescent="0.35">
      <c r="B7" s="74">
        <v>100</v>
      </c>
      <c r="C7" s="75">
        <v>3500</v>
      </c>
    </row>
    <row r="8" spans="1:4" x14ac:dyDescent="0.35">
      <c r="B8" s="74">
        <v>150</v>
      </c>
      <c r="C8" s="75">
        <v>4000</v>
      </c>
    </row>
    <row r="9" spans="1:4" x14ac:dyDescent="0.35">
      <c r="B9" s="74">
        <v>200</v>
      </c>
      <c r="C9" s="75">
        <v>5000</v>
      </c>
    </row>
    <row r="11" spans="1:4" x14ac:dyDescent="0.35">
      <c r="B11" s="69" t="s">
        <v>781</v>
      </c>
      <c r="C11" s="69" t="s">
        <v>782</v>
      </c>
      <c r="D11" s="69" t="s">
        <v>783</v>
      </c>
    </row>
    <row r="12" spans="1:4" x14ac:dyDescent="0.35">
      <c r="B12" t="s">
        <v>803</v>
      </c>
      <c r="C12" s="70">
        <v>140</v>
      </c>
      <c r="D12" s="71">
        <f>VLOOKUP(C12,$B$6:$C$9,2,TRUE)</f>
        <v>3500</v>
      </c>
    </row>
    <row r="13" spans="1:4" x14ac:dyDescent="0.35">
      <c r="B13" t="s">
        <v>784</v>
      </c>
      <c r="C13" s="70">
        <v>90</v>
      </c>
      <c r="D13" s="71">
        <f t="shared" ref="D13:D31" si="0">VLOOKUP(C13,$B$6:$C$9,2,TRUE)</f>
        <v>1500</v>
      </c>
    </row>
    <row r="14" spans="1:4" x14ac:dyDescent="0.35">
      <c r="B14" t="s">
        <v>785</v>
      </c>
      <c r="C14" s="70">
        <v>150</v>
      </c>
      <c r="D14" s="71">
        <f t="shared" si="0"/>
        <v>4000</v>
      </c>
    </row>
    <row r="15" spans="1:4" x14ac:dyDescent="0.35">
      <c r="B15" t="s">
        <v>786</v>
      </c>
      <c r="C15" s="70">
        <v>80</v>
      </c>
      <c r="D15" s="71">
        <f t="shared" si="0"/>
        <v>1500</v>
      </c>
    </row>
    <row r="16" spans="1:4" x14ac:dyDescent="0.35">
      <c r="B16" t="s">
        <v>787</v>
      </c>
      <c r="C16" s="70">
        <v>250</v>
      </c>
      <c r="D16" s="71">
        <f t="shared" si="0"/>
        <v>5000</v>
      </c>
    </row>
    <row r="17" spans="2:4" x14ac:dyDescent="0.35">
      <c r="B17" t="s">
        <v>788</v>
      </c>
      <c r="C17" s="70">
        <v>100</v>
      </c>
      <c r="D17" s="71">
        <f t="shared" si="0"/>
        <v>3500</v>
      </c>
    </row>
    <row r="18" spans="2:4" x14ac:dyDescent="0.35">
      <c r="B18" t="s">
        <v>789</v>
      </c>
      <c r="C18" s="70">
        <v>50</v>
      </c>
      <c r="D18" s="71">
        <f t="shared" si="0"/>
        <v>1500</v>
      </c>
    </row>
    <row r="19" spans="2:4" x14ac:dyDescent="0.35">
      <c r="B19" t="s">
        <v>790</v>
      </c>
      <c r="C19" s="70">
        <v>180</v>
      </c>
      <c r="D19" s="71">
        <f t="shared" si="0"/>
        <v>4000</v>
      </c>
    </row>
    <row r="20" spans="2:4" x14ac:dyDescent="0.35">
      <c r="B20" t="s">
        <v>791</v>
      </c>
      <c r="C20" s="70">
        <v>75</v>
      </c>
      <c r="D20" s="71">
        <f t="shared" si="0"/>
        <v>1500</v>
      </c>
    </row>
    <row r="21" spans="2:4" x14ac:dyDescent="0.35">
      <c r="B21" t="s">
        <v>792</v>
      </c>
      <c r="C21" s="70">
        <v>110</v>
      </c>
      <c r="D21" s="71">
        <f t="shared" si="0"/>
        <v>3500</v>
      </c>
    </row>
    <row r="22" spans="2:4" x14ac:dyDescent="0.35">
      <c r="B22" t="s">
        <v>793</v>
      </c>
      <c r="C22" s="70">
        <v>160</v>
      </c>
      <c r="D22" s="71">
        <f t="shared" si="0"/>
        <v>4000</v>
      </c>
    </row>
    <row r="23" spans="2:4" x14ac:dyDescent="0.35">
      <c r="B23" t="s">
        <v>794</v>
      </c>
      <c r="C23" s="70">
        <v>70</v>
      </c>
      <c r="D23" s="71">
        <f t="shared" si="0"/>
        <v>1500</v>
      </c>
    </row>
    <row r="24" spans="2:4" x14ac:dyDescent="0.35">
      <c r="B24" t="s">
        <v>795</v>
      </c>
      <c r="C24" s="70">
        <v>130</v>
      </c>
      <c r="D24" s="71">
        <f t="shared" si="0"/>
        <v>3500</v>
      </c>
    </row>
    <row r="25" spans="2:4" x14ac:dyDescent="0.35">
      <c r="B25" t="s">
        <v>796</v>
      </c>
      <c r="C25" s="70">
        <v>95</v>
      </c>
      <c r="D25" s="71">
        <f t="shared" si="0"/>
        <v>1500</v>
      </c>
    </row>
    <row r="26" spans="2:4" x14ac:dyDescent="0.35">
      <c r="B26" t="s">
        <v>797</v>
      </c>
      <c r="C26" s="70">
        <v>170</v>
      </c>
      <c r="D26" s="71">
        <f t="shared" si="0"/>
        <v>4000</v>
      </c>
    </row>
    <row r="27" spans="2:4" x14ac:dyDescent="0.35">
      <c r="B27" t="s">
        <v>798</v>
      </c>
      <c r="C27" s="70">
        <v>85</v>
      </c>
      <c r="D27" s="71">
        <f t="shared" si="0"/>
        <v>1500</v>
      </c>
    </row>
    <row r="28" spans="2:4" x14ac:dyDescent="0.35">
      <c r="B28" t="s">
        <v>799</v>
      </c>
      <c r="C28" s="70">
        <v>140</v>
      </c>
      <c r="D28" s="71">
        <f t="shared" si="0"/>
        <v>3500</v>
      </c>
    </row>
    <row r="29" spans="2:4" x14ac:dyDescent="0.35">
      <c r="B29" t="s">
        <v>800</v>
      </c>
      <c r="C29" s="70">
        <v>65</v>
      </c>
      <c r="D29" s="71">
        <f t="shared" si="0"/>
        <v>1500</v>
      </c>
    </row>
    <row r="30" spans="2:4" x14ac:dyDescent="0.35">
      <c r="B30" t="s">
        <v>801</v>
      </c>
      <c r="C30" s="70">
        <v>190</v>
      </c>
      <c r="D30" s="71">
        <f t="shared" si="0"/>
        <v>4000</v>
      </c>
    </row>
    <row r="31" spans="2:4" x14ac:dyDescent="0.35">
      <c r="B31" t="s">
        <v>802</v>
      </c>
      <c r="C31" s="70">
        <v>105</v>
      </c>
      <c r="D31" s="71">
        <f t="shared" si="0"/>
        <v>3500</v>
      </c>
    </row>
  </sheetData>
  <mergeCells count="1">
    <mergeCell ref="B4:C4"/>
  </mergeCells>
  <hyperlinks>
    <hyperlink ref="A2" location="'Lo que aprenderás'!A1" display="Inicio" xr:uid="{C637B717-E8FA-4FF8-AB6D-2D5D2223C51C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14E93-2251-4BC5-97B3-FB1898C55674}">
  <sheetPr codeName="Hoja7"/>
  <dimension ref="A1:K323"/>
  <sheetViews>
    <sheetView topLeftCell="B1" zoomScale="98" zoomScaleNormal="145" workbookViewId="0">
      <selection activeCell="G1" sqref="G1"/>
    </sheetView>
  </sheetViews>
  <sheetFormatPr baseColWidth="10" defaultRowHeight="14.5" x14ac:dyDescent="0.35"/>
  <cols>
    <col min="1" max="1" width="11.54296875" bestFit="1" customWidth="1"/>
    <col min="2" max="5" width="18.26953125" customWidth="1"/>
    <col min="6" max="6" width="27.26953125" bestFit="1" customWidth="1"/>
    <col min="7" max="7" width="5.81640625" bestFit="1" customWidth="1"/>
    <col min="8" max="8" width="6.26953125" customWidth="1"/>
    <col min="9" max="9" width="16.7265625" customWidth="1"/>
    <col min="10" max="11" width="21.81640625" customWidth="1"/>
  </cols>
  <sheetData>
    <row r="1" spans="1:11" ht="18.5" x14ac:dyDescent="0.45">
      <c r="A1" s="54" t="s">
        <v>55</v>
      </c>
      <c r="B1" s="54" t="s">
        <v>78</v>
      </c>
      <c r="C1" s="54" t="s">
        <v>79</v>
      </c>
      <c r="D1" s="54" t="s">
        <v>408</v>
      </c>
      <c r="E1" s="54" t="s">
        <v>754</v>
      </c>
      <c r="F1" s="54" t="s">
        <v>409</v>
      </c>
      <c r="G1" s="12" t="s">
        <v>35</v>
      </c>
    </row>
    <row r="2" spans="1:11" x14ac:dyDescent="0.35">
      <c r="A2" t="s">
        <v>80</v>
      </c>
      <c r="B2" t="s">
        <v>425</v>
      </c>
      <c r="C2" s="24">
        <v>44903</v>
      </c>
      <c r="D2" s="22">
        <v>-5000</v>
      </c>
      <c r="E2" s="22" t="str">
        <f>IF(D2&lt;$K$3,$I$3,$I$4)</f>
        <v>Crítico</v>
      </c>
      <c r="F2" t="e" vm="2">
        <v>#VALUE!</v>
      </c>
      <c r="I2" s="61" t="s">
        <v>754</v>
      </c>
      <c r="J2" s="61" t="s">
        <v>755</v>
      </c>
      <c r="K2" s="61" t="s">
        <v>756</v>
      </c>
    </row>
    <row r="3" spans="1:11" x14ac:dyDescent="0.35">
      <c r="A3" t="s">
        <v>82</v>
      </c>
      <c r="B3" t="s">
        <v>127</v>
      </c>
      <c r="C3" s="24">
        <v>44870</v>
      </c>
      <c r="D3" s="22">
        <v>13932</v>
      </c>
      <c r="E3" s="22" t="str">
        <f t="shared" ref="E3:E66" si="0">IF(D3&lt;$K$3,$I$3,$I$4)</f>
        <v>Aceptable</v>
      </c>
      <c r="F3" t="e" vm="4">
        <v>#VALUE!</v>
      </c>
      <c r="I3" t="s">
        <v>757</v>
      </c>
      <c r="J3">
        <v>0</v>
      </c>
      <c r="K3">
        <v>9999</v>
      </c>
    </row>
    <row r="4" spans="1:11" x14ac:dyDescent="0.35">
      <c r="A4" t="s">
        <v>83</v>
      </c>
      <c r="B4" t="s">
        <v>81</v>
      </c>
      <c r="C4" s="24">
        <v>44937</v>
      </c>
      <c r="D4" s="22">
        <v>5277</v>
      </c>
      <c r="E4" s="22" t="str">
        <f t="shared" si="0"/>
        <v>Crítico</v>
      </c>
      <c r="F4" t="e" vm="6">
        <v>#VALUE!</v>
      </c>
      <c r="I4" t="s">
        <v>758</v>
      </c>
      <c r="J4">
        <v>10000</v>
      </c>
      <c r="K4" t="s">
        <v>759</v>
      </c>
    </row>
    <row r="5" spans="1:11" x14ac:dyDescent="0.35">
      <c r="A5" t="s">
        <v>84</v>
      </c>
      <c r="B5" t="s">
        <v>350</v>
      </c>
      <c r="C5" s="24">
        <v>44909</v>
      </c>
      <c r="D5" s="22">
        <v>16085</v>
      </c>
      <c r="E5" s="22" t="str">
        <f t="shared" si="0"/>
        <v>Aceptable</v>
      </c>
      <c r="F5" t="e" vm="4">
        <v>#VALUE!</v>
      </c>
    </row>
    <row r="6" spans="1:11" x14ac:dyDescent="0.35">
      <c r="A6" t="s">
        <v>85</v>
      </c>
      <c r="B6" t="s">
        <v>425</v>
      </c>
      <c r="C6" s="24">
        <v>44939</v>
      </c>
      <c r="D6" s="22">
        <v>16357</v>
      </c>
      <c r="E6" s="22" t="str">
        <f t="shared" si="0"/>
        <v>Aceptable</v>
      </c>
      <c r="F6" t="e" vm="4">
        <v>#VALUE!</v>
      </c>
    </row>
    <row r="7" spans="1:11" ht="18.5" x14ac:dyDescent="0.45">
      <c r="A7" t="s">
        <v>86</v>
      </c>
      <c r="B7" t="s">
        <v>350</v>
      </c>
      <c r="C7" s="24">
        <v>44950</v>
      </c>
      <c r="D7" s="22">
        <v>19413</v>
      </c>
      <c r="E7" s="22" t="str">
        <f t="shared" si="0"/>
        <v>Aceptable</v>
      </c>
      <c r="F7" t="e" vm="6">
        <v>#VALUE!</v>
      </c>
      <c r="I7" s="81" t="s">
        <v>46</v>
      </c>
      <c r="J7" s="82"/>
    </row>
    <row r="8" spans="1:11" x14ac:dyDescent="0.35">
      <c r="A8" t="s">
        <v>87</v>
      </c>
      <c r="B8" t="s">
        <v>361</v>
      </c>
      <c r="C8" s="24">
        <v>44917</v>
      </c>
      <c r="D8" s="22">
        <v>11388</v>
      </c>
      <c r="E8" s="22" t="str">
        <f t="shared" si="0"/>
        <v>Aceptable</v>
      </c>
      <c r="F8" t="e" vm="6">
        <v>#VALUE!</v>
      </c>
      <c r="I8" s="50" t="s">
        <v>40</v>
      </c>
      <c r="J8" s="51" t="s">
        <v>48</v>
      </c>
    </row>
    <row r="9" spans="1:11" x14ac:dyDescent="0.35">
      <c r="A9" t="s">
        <v>88</v>
      </c>
      <c r="B9" t="s">
        <v>305</v>
      </c>
      <c r="C9" s="24">
        <v>44945</v>
      </c>
      <c r="D9" s="22">
        <v>14682</v>
      </c>
      <c r="E9" s="22" t="str">
        <f t="shared" si="0"/>
        <v>Aceptable</v>
      </c>
      <c r="F9" t="e" vm="6">
        <v>#VALUE!</v>
      </c>
      <c r="I9" s="50" t="s">
        <v>41</v>
      </c>
      <c r="J9" s="51" t="s">
        <v>49</v>
      </c>
    </row>
    <row r="10" spans="1:11" x14ac:dyDescent="0.35">
      <c r="A10" t="s">
        <v>89</v>
      </c>
      <c r="B10" t="s">
        <v>110</v>
      </c>
      <c r="C10" s="24">
        <v>44945</v>
      </c>
      <c r="D10" s="22">
        <v>11295</v>
      </c>
      <c r="E10" s="22" t="str">
        <f t="shared" si="0"/>
        <v>Aceptable</v>
      </c>
      <c r="F10" t="e" vm="4">
        <v>#VALUE!</v>
      </c>
      <c r="I10" s="50" t="s">
        <v>42</v>
      </c>
      <c r="J10" s="51" t="s">
        <v>50</v>
      </c>
    </row>
    <row r="11" spans="1:11" x14ac:dyDescent="0.35">
      <c r="A11" t="s">
        <v>90</v>
      </c>
      <c r="B11" t="s">
        <v>425</v>
      </c>
      <c r="C11" s="24">
        <v>44885</v>
      </c>
      <c r="D11" s="22">
        <v>12040</v>
      </c>
      <c r="E11" s="22" t="str">
        <f t="shared" si="0"/>
        <v>Aceptable</v>
      </c>
      <c r="F11" t="e" vm="2">
        <v>#VALUE!</v>
      </c>
      <c r="I11" s="50" t="s">
        <v>43</v>
      </c>
      <c r="J11" s="51" t="s">
        <v>51</v>
      </c>
    </row>
    <row r="12" spans="1:11" x14ac:dyDescent="0.35">
      <c r="A12" t="s">
        <v>91</v>
      </c>
      <c r="B12" t="s">
        <v>81</v>
      </c>
      <c r="C12" s="24">
        <v>44913</v>
      </c>
      <c r="D12" s="22">
        <v>8892</v>
      </c>
      <c r="E12" s="22" t="str">
        <f t="shared" si="0"/>
        <v>Crítico</v>
      </c>
      <c r="F12" t="e" vm="6">
        <v>#VALUE!</v>
      </c>
      <c r="I12" s="50" t="s">
        <v>53</v>
      </c>
      <c r="J12" s="51" t="s">
        <v>54</v>
      </c>
    </row>
    <row r="13" spans="1:11" x14ac:dyDescent="0.35">
      <c r="A13" t="s">
        <v>92</v>
      </c>
      <c r="B13" t="s">
        <v>305</v>
      </c>
      <c r="C13" s="24">
        <v>44908</v>
      </c>
      <c r="D13" s="22">
        <v>4172</v>
      </c>
      <c r="E13" s="22" t="str">
        <f t="shared" si="0"/>
        <v>Crítico</v>
      </c>
      <c r="F13" t="e" vm="4">
        <v>#VALUE!</v>
      </c>
      <c r="I13" s="52" t="s">
        <v>47</v>
      </c>
      <c r="J13" s="53" t="s">
        <v>52</v>
      </c>
    </row>
    <row r="14" spans="1:11" x14ac:dyDescent="0.35">
      <c r="A14" t="s">
        <v>93</v>
      </c>
      <c r="B14" t="s">
        <v>361</v>
      </c>
      <c r="C14" s="24">
        <v>44880</v>
      </c>
      <c r="D14" s="22">
        <v>14820</v>
      </c>
      <c r="E14" s="22" t="str">
        <f t="shared" si="0"/>
        <v>Aceptable</v>
      </c>
      <c r="F14" t="e" vm="2">
        <v>#VALUE!</v>
      </c>
    </row>
    <row r="15" spans="1:11" x14ac:dyDescent="0.35">
      <c r="A15" t="s">
        <v>94</v>
      </c>
      <c r="B15" t="s">
        <v>361</v>
      </c>
      <c r="C15" s="24">
        <v>44900</v>
      </c>
      <c r="D15" s="22">
        <v>16881</v>
      </c>
      <c r="E15" s="22" t="str">
        <f t="shared" si="0"/>
        <v>Aceptable</v>
      </c>
      <c r="F15" t="e" vm="4">
        <v>#VALUE!</v>
      </c>
    </row>
    <row r="16" spans="1:11" x14ac:dyDescent="0.35">
      <c r="A16" t="s">
        <v>95</v>
      </c>
      <c r="B16" t="s">
        <v>305</v>
      </c>
      <c r="C16" s="24">
        <v>44944</v>
      </c>
      <c r="D16" s="22">
        <v>2181</v>
      </c>
      <c r="E16" s="22" t="str">
        <f t="shared" si="0"/>
        <v>Crítico</v>
      </c>
      <c r="F16" t="e" vm="4">
        <v>#VALUE!</v>
      </c>
    </row>
    <row r="17" spans="1:6" x14ac:dyDescent="0.35">
      <c r="A17" t="s">
        <v>96</v>
      </c>
      <c r="B17" t="s">
        <v>305</v>
      </c>
      <c r="C17" s="24">
        <v>44925</v>
      </c>
      <c r="D17" s="22">
        <v>16813</v>
      </c>
      <c r="E17" s="22" t="str">
        <f t="shared" si="0"/>
        <v>Aceptable</v>
      </c>
      <c r="F17" t="e" vm="4">
        <v>#VALUE!</v>
      </c>
    </row>
    <row r="18" spans="1:6" x14ac:dyDescent="0.35">
      <c r="A18" t="s">
        <v>97</v>
      </c>
      <c r="B18" t="s">
        <v>127</v>
      </c>
      <c r="C18" s="24">
        <v>44929</v>
      </c>
      <c r="D18" s="22">
        <v>3336</v>
      </c>
      <c r="E18" s="22" t="str">
        <f t="shared" si="0"/>
        <v>Crítico</v>
      </c>
      <c r="F18" t="e" vm="2">
        <v>#VALUE!</v>
      </c>
    </row>
    <row r="19" spans="1:6" x14ac:dyDescent="0.35">
      <c r="A19" t="s">
        <v>98</v>
      </c>
      <c r="B19" t="s">
        <v>361</v>
      </c>
      <c r="C19" s="24">
        <v>44935</v>
      </c>
      <c r="D19" s="22">
        <v>1573</v>
      </c>
      <c r="E19" s="22" t="str">
        <f t="shared" si="0"/>
        <v>Crítico</v>
      </c>
      <c r="F19" t="e" vm="2">
        <v>#VALUE!</v>
      </c>
    </row>
    <row r="20" spans="1:6" x14ac:dyDescent="0.35">
      <c r="A20" t="s">
        <v>99</v>
      </c>
      <c r="B20" t="s">
        <v>425</v>
      </c>
      <c r="C20" s="24">
        <v>44947</v>
      </c>
      <c r="D20" s="22">
        <v>2796</v>
      </c>
      <c r="E20" s="22" t="str">
        <f t="shared" si="0"/>
        <v>Crítico</v>
      </c>
      <c r="F20" t="e" vm="4">
        <v>#VALUE!</v>
      </c>
    </row>
    <row r="21" spans="1:6" x14ac:dyDescent="0.35">
      <c r="A21" t="s">
        <v>100</v>
      </c>
      <c r="B21" t="s">
        <v>110</v>
      </c>
      <c r="C21" s="24">
        <v>44878</v>
      </c>
      <c r="D21" s="22">
        <v>18910</v>
      </c>
      <c r="E21" s="22" t="str">
        <f t="shared" si="0"/>
        <v>Aceptable</v>
      </c>
      <c r="F21" t="e" vm="4">
        <v>#VALUE!</v>
      </c>
    </row>
    <row r="22" spans="1:6" x14ac:dyDescent="0.35">
      <c r="A22" t="s">
        <v>101</v>
      </c>
      <c r="B22" t="s">
        <v>305</v>
      </c>
      <c r="C22" s="24">
        <v>44870</v>
      </c>
      <c r="D22" s="22">
        <v>6618</v>
      </c>
      <c r="E22" s="22" t="str">
        <f t="shared" si="0"/>
        <v>Crítico</v>
      </c>
      <c r="F22" t="e" vm="4">
        <v>#VALUE!</v>
      </c>
    </row>
    <row r="23" spans="1:6" x14ac:dyDescent="0.35">
      <c r="A23" t="s">
        <v>102</v>
      </c>
      <c r="B23" t="s">
        <v>425</v>
      </c>
      <c r="C23" s="24">
        <v>44907</v>
      </c>
      <c r="D23" s="22">
        <v>6272</v>
      </c>
      <c r="E23" s="22" t="str">
        <f t="shared" si="0"/>
        <v>Crítico</v>
      </c>
      <c r="F23" t="e" vm="6">
        <v>#VALUE!</v>
      </c>
    </row>
    <row r="24" spans="1:6" x14ac:dyDescent="0.35">
      <c r="A24" t="s">
        <v>103</v>
      </c>
      <c r="B24" t="s">
        <v>350</v>
      </c>
      <c r="C24" s="24">
        <v>44896</v>
      </c>
      <c r="D24" s="22">
        <v>18100</v>
      </c>
      <c r="E24" s="22" t="str">
        <f t="shared" si="0"/>
        <v>Aceptable</v>
      </c>
      <c r="F24" t="e" vm="6">
        <v>#VALUE!</v>
      </c>
    </row>
    <row r="25" spans="1:6" x14ac:dyDescent="0.35">
      <c r="A25" t="s">
        <v>104</v>
      </c>
      <c r="B25" t="s">
        <v>361</v>
      </c>
      <c r="C25" s="24">
        <v>44876</v>
      </c>
      <c r="D25" s="22">
        <v>14817</v>
      </c>
      <c r="E25" s="22" t="str">
        <f t="shared" si="0"/>
        <v>Aceptable</v>
      </c>
      <c r="F25" t="e" vm="6">
        <v>#VALUE!</v>
      </c>
    </row>
    <row r="26" spans="1:6" x14ac:dyDescent="0.35">
      <c r="A26" t="s">
        <v>105</v>
      </c>
      <c r="B26" t="s">
        <v>110</v>
      </c>
      <c r="C26" s="24">
        <v>44878</v>
      </c>
      <c r="D26" s="22">
        <v>9644</v>
      </c>
      <c r="E26" s="22" t="str">
        <f t="shared" si="0"/>
        <v>Crítico</v>
      </c>
      <c r="F26" t="e" vm="6">
        <v>#VALUE!</v>
      </c>
    </row>
    <row r="27" spans="1:6" x14ac:dyDescent="0.35">
      <c r="A27" t="s">
        <v>106</v>
      </c>
      <c r="B27" t="s">
        <v>305</v>
      </c>
      <c r="C27" s="24">
        <v>44955</v>
      </c>
      <c r="D27" s="22">
        <v>1476</v>
      </c>
      <c r="E27" s="22" t="str">
        <f t="shared" si="0"/>
        <v>Crítico</v>
      </c>
      <c r="F27" t="e" vm="6">
        <v>#VALUE!</v>
      </c>
    </row>
    <row r="28" spans="1:6" x14ac:dyDescent="0.35">
      <c r="A28" t="s">
        <v>107</v>
      </c>
      <c r="B28" t="s">
        <v>425</v>
      </c>
      <c r="C28" s="24">
        <v>44953</v>
      </c>
      <c r="D28" s="22">
        <v>19430</v>
      </c>
      <c r="E28" s="22" t="str">
        <f t="shared" si="0"/>
        <v>Aceptable</v>
      </c>
      <c r="F28" t="e" vm="2">
        <v>#VALUE!</v>
      </c>
    </row>
    <row r="29" spans="1:6" x14ac:dyDescent="0.35">
      <c r="A29" t="s">
        <v>108</v>
      </c>
      <c r="B29" t="s">
        <v>350</v>
      </c>
      <c r="C29" s="24">
        <v>44930</v>
      </c>
      <c r="D29" s="22">
        <v>17519</v>
      </c>
      <c r="E29" s="22" t="str">
        <f t="shared" si="0"/>
        <v>Aceptable</v>
      </c>
      <c r="F29" t="e" vm="4">
        <v>#VALUE!</v>
      </c>
    </row>
    <row r="30" spans="1:6" x14ac:dyDescent="0.35">
      <c r="A30" t="s">
        <v>109</v>
      </c>
      <c r="B30" t="s">
        <v>127</v>
      </c>
      <c r="C30" s="24">
        <v>44873</v>
      </c>
      <c r="D30" s="22">
        <v>5650</v>
      </c>
      <c r="E30" s="22" t="str">
        <f t="shared" si="0"/>
        <v>Crítico</v>
      </c>
      <c r="F30" t="e" vm="6">
        <v>#VALUE!</v>
      </c>
    </row>
    <row r="31" spans="1:6" x14ac:dyDescent="0.35">
      <c r="A31" t="s">
        <v>111</v>
      </c>
      <c r="B31" t="s">
        <v>361</v>
      </c>
      <c r="C31" s="24">
        <v>44906</v>
      </c>
      <c r="D31" s="22">
        <v>14642</v>
      </c>
      <c r="E31" s="22" t="str">
        <f t="shared" si="0"/>
        <v>Aceptable</v>
      </c>
      <c r="F31" t="e" vm="4">
        <v>#VALUE!</v>
      </c>
    </row>
    <row r="32" spans="1:6" x14ac:dyDescent="0.35">
      <c r="A32" t="s">
        <v>112</v>
      </c>
      <c r="B32" t="s">
        <v>361</v>
      </c>
      <c r="C32" s="24">
        <v>44936</v>
      </c>
      <c r="D32" s="22">
        <v>8335</v>
      </c>
      <c r="E32" s="22" t="str">
        <f t="shared" si="0"/>
        <v>Crítico</v>
      </c>
      <c r="F32" t="e" vm="4">
        <v>#VALUE!</v>
      </c>
    </row>
    <row r="33" spans="1:6" x14ac:dyDescent="0.35">
      <c r="A33" t="s">
        <v>113</v>
      </c>
      <c r="B33" t="s">
        <v>81</v>
      </c>
      <c r="C33" s="24">
        <v>44880</v>
      </c>
      <c r="D33" s="22">
        <v>2905</v>
      </c>
      <c r="E33" s="22" t="str">
        <f t="shared" si="0"/>
        <v>Crítico</v>
      </c>
      <c r="F33" t="e" vm="4">
        <v>#VALUE!</v>
      </c>
    </row>
    <row r="34" spans="1:6" x14ac:dyDescent="0.35">
      <c r="A34" t="s">
        <v>114</v>
      </c>
      <c r="B34" t="s">
        <v>425</v>
      </c>
      <c r="C34" s="24">
        <v>44921</v>
      </c>
      <c r="D34" s="22">
        <v>13977</v>
      </c>
      <c r="E34" s="22" t="str">
        <f t="shared" si="0"/>
        <v>Aceptable</v>
      </c>
      <c r="F34" t="e" vm="4">
        <v>#VALUE!</v>
      </c>
    </row>
    <row r="35" spans="1:6" x14ac:dyDescent="0.35">
      <c r="A35" t="s">
        <v>115</v>
      </c>
      <c r="B35" t="s">
        <v>361</v>
      </c>
      <c r="C35" s="24">
        <v>44888</v>
      </c>
      <c r="D35" s="22">
        <v>10819</v>
      </c>
      <c r="E35" s="22" t="str">
        <f t="shared" si="0"/>
        <v>Aceptable</v>
      </c>
      <c r="F35" t="e" vm="4">
        <v>#VALUE!</v>
      </c>
    </row>
    <row r="36" spans="1:6" x14ac:dyDescent="0.35">
      <c r="A36" t="s">
        <v>116</v>
      </c>
      <c r="B36" t="s">
        <v>81</v>
      </c>
      <c r="C36" s="24">
        <v>44914</v>
      </c>
      <c r="D36" s="22">
        <v>14226</v>
      </c>
      <c r="E36" s="22" t="str">
        <f t="shared" si="0"/>
        <v>Aceptable</v>
      </c>
      <c r="F36" t="e" vm="6">
        <v>#VALUE!</v>
      </c>
    </row>
    <row r="37" spans="1:6" x14ac:dyDescent="0.35">
      <c r="A37" t="s">
        <v>117</v>
      </c>
      <c r="B37" t="s">
        <v>361</v>
      </c>
      <c r="C37" s="24">
        <v>44939</v>
      </c>
      <c r="D37" s="22">
        <v>14054</v>
      </c>
      <c r="E37" s="22" t="str">
        <f t="shared" si="0"/>
        <v>Aceptable</v>
      </c>
      <c r="F37" t="e" vm="2">
        <v>#VALUE!</v>
      </c>
    </row>
    <row r="38" spans="1:6" x14ac:dyDescent="0.35">
      <c r="A38" t="s">
        <v>118</v>
      </c>
      <c r="B38" t="s">
        <v>127</v>
      </c>
      <c r="C38" s="24">
        <v>44938</v>
      </c>
      <c r="D38" s="22">
        <v>14015</v>
      </c>
      <c r="E38" s="22" t="str">
        <f t="shared" si="0"/>
        <v>Aceptable</v>
      </c>
      <c r="F38" t="e" vm="4">
        <v>#VALUE!</v>
      </c>
    </row>
    <row r="39" spans="1:6" x14ac:dyDescent="0.35">
      <c r="A39" t="s">
        <v>119</v>
      </c>
      <c r="B39" t="s">
        <v>81</v>
      </c>
      <c r="C39" s="24">
        <v>44943</v>
      </c>
      <c r="D39" s="22">
        <v>13645</v>
      </c>
      <c r="E39" s="22" t="str">
        <f t="shared" si="0"/>
        <v>Aceptable</v>
      </c>
      <c r="F39" t="e" vm="2">
        <v>#VALUE!</v>
      </c>
    </row>
    <row r="40" spans="1:6" x14ac:dyDescent="0.35">
      <c r="A40" t="s">
        <v>120</v>
      </c>
      <c r="B40" t="s">
        <v>425</v>
      </c>
      <c r="C40" s="24">
        <v>44937</v>
      </c>
      <c r="D40" s="22">
        <v>14017</v>
      </c>
      <c r="E40" s="22" t="str">
        <f t="shared" si="0"/>
        <v>Aceptable</v>
      </c>
      <c r="F40" t="e" vm="6">
        <v>#VALUE!</v>
      </c>
    </row>
    <row r="41" spans="1:6" x14ac:dyDescent="0.35">
      <c r="A41" t="s">
        <v>121</v>
      </c>
      <c r="B41" t="s">
        <v>425</v>
      </c>
      <c r="C41" s="24">
        <v>44905</v>
      </c>
      <c r="D41" s="22">
        <v>3229</v>
      </c>
      <c r="E41" s="22" t="str">
        <f t="shared" si="0"/>
        <v>Crítico</v>
      </c>
      <c r="F41" t="e" vm="2">
        <v>#VALUE!</v>
      </c>
    </row>
    <row r="42" spans="1:6" x14ac:dyDescent="0.35">
      <c r="A42" t="s">
        <v>122</v>
      </c>
      <c r="B42" t="s">
        <v>305</v>
      </c>
      <c r="C42" s="24">
        <v>44897</v>
      </c>
      <c r="D42" s="22">
        <v>13654</v>
      </c>
      <c r="E42" s="22" t="str">
        <f t="shared" si="0"/>
        <v>Aceptable</v>
      </c>
      <c r="F42" t="e" vm="2">
        <v>#VALUE!</v>
      </c>
    </row>
    <row r="43" spans="1:6" x14ac:dyDescent="0.35">
      <c r="A43" t="s">
        <v>123</v>
      </c>
      <c r="B43" t="s">
        <v>350</v>
      </c>
      <c r="C43" s="24">
        <v>44887</v>
      </c>
      <c r="D43" s="22">
        <v>15893</v>
      </c>
      <c r="E43" s="22" t="str">
        <f t="shared" si="0"/>
        <v>Aceptable</v>
      </c>
      <c r="F43" t="e" vm="2">
        <v>#VALUE!</v>
      </c>
    </row>
    <row r="44" spans="1:6" x14ac:dyDescent="0.35">
      <c r="A44" t="s">
        <v>124</v>
      </c>
      <c r="B44" t="s">
        <v>127</v>
      </c>
      <c r="C44" s="24">
        <v>44875</v>
      </c>
      <c r="D44" s="22">
        <v>7333</v>
      </c>
      <c r="E44" s="22" t="str">
        <f t="shared" si="0"/>
        <v>Crítico</v>
      </c>
      <c r="F44" t="e" vm="6">
        <v>#VALUE!</v>
      </c>
    </row>
    <row r="45" spans="1:6" x14ac:dyDescent="0.35">
      <c r="A45" t="s">
        <v>125</v>
      </c>
      <c r="B45" t="s">
        <v>361</v>
      </c>
      <c r="C45" s="24">
        <v>44867</v>
      </c>
      <c r="D45" s="22">
        <v>5222</v>
      </c>
      <c r="E45" s="22" t="str">
        <f t="shared" si="0"/>
        <v>Crítico</v>
      </c>
      <c r="F45" t="e" vm="2">
        <v>#VALUE!</v>
      </c>
    </row>
    <row r="46" spans="1:6" x14ac:dyDescent="0.35">
      <c r="A46" t="s">
        <v>126</v>
      </c>
      <c r="B46" t="s">
        <v>127</v>
      </c>
      <c r="C46" s="24">
        <v>44936</v>
      </c>
      <c r="D46" s="22">
        <v>9372</v>
      </c>
      <c r="E46" s="22" t="str">
        <f t="shared" si="0"/>
        <v>Crítico</v>
      </c>
      <c r="F46" t="e" vm="2">
        <v>#VALUE!</v>
      </c>
    </row>
    <row r="47" spans="1:6" x14ac:dyDescent="0.35">
      <c r="A47" t="s">
        <v>128</v>
      </c>
      <c r="B47" t="s">
        <v>350</v>
      </c>
      <c r="C47" s="24">
        <v>44940</v>
      </c>
      <c r="D47" s="22">
        <v>10322</v>
      </c>
      <c r="E47" s="22" t="str">
        <f t="shared" si="0"/>
        <v>Aceptable</v>
      </c>
      <c r="F47" t="e" vm="6">
        <v>#VALUE!</v>
      </c>
    </row>
    <row r="48" spans="1:6" x14ac:dyDescent="0.35">
      <c r="A48" t="s">
        <v>129</v>
      </c>
      <c r="B48" t="s">
        <v>81</v>
      </c>
      <c r="C48" s="24">
        <v>44902</v>
      </c>
      <c r="D48" s="22">
        <v>11382</v>
      </c>
      <c r="E48" s="22" t="str">
        <f t="shared" si="0"/>
        <v>Aceptable</v>
      </c>
      <c r="F48" t="e" vm="6">
        <v>#VALUE!</v>
      </c>
    </row>
    <row r="49" spans="1:6" x14ac:dyDescent="0.35">
      <c r="A49" t="s">
        <v>130</v>
      </c>
      <c r="B49" t="s">
        <v>110</v>
      </c>
      <c r="C49" s="24">
        <v>44933</v>
      </c>
      <c r="D49" s="22">
        <v>12591</v>
      </c>
      <c r="E49" s="22" t="str">
        <f t="shared" si="0"/>
        <v>Aceptable</v>
      </c>
      <c r="F49" t="e" vm="4">
        <v>#VALUE!</v>
      </c>
    </row>
    <row r="50" spans="1:6" x14ac:dyDescent="0.35">
      <c r="A50" t="s">
        <v>131</v>
      </c>
      <c r="B50" t="s">
        <v>110</v>
      </c>
      <c r="C50" s="24">
        <v>44930</v>
      </c>
      <c r="D50" s="22">
        <v>9882</v>
      </c>
      <c r="E50" s="22" t="str">
        <f t="shared" si="0"/>
        <v>Crítico</v>
      </c>
      <c r="F50" t="e" vm="4">
        <v>#VALUE!</v>
      </c>
    </row>
    <row r="51" spans="1:6" x14ac:dyDescent="0.35">
      <c r="A51" t="s">
        <v>132</v>
      </c>
      <c r="B51" t="s">
        <v>350</v>
      </c>
      <c r="C51" s="24">
        <v>44882</v>
      </c>
      <c r="D51" s="22">
        <v>7292</v>
      </c>
      <c r="E51" s="22" t="str">
        <f t="shared" si="0"/>
        <v>Crítico</v>
      </c>
      <c r="F51" t="e" vm="6">
        <v>#VALUE!</v>
      </c>
    </row>
    <row r="52" spans="1:6" x14ac:dyDescent="0.35">
      <c r="A52" t="s">
        <v>133</v>
      </c>
      <c r="B52" t="s">
        <v>110</v>
      </c>
      <c r="C52" s="24">
        <v>44889</v>
      </c>
      <c r="D52" s="22">
        <v>4172</v>
      </c>
      <c r="E52" s="22" t="str">
        <f t="shared" si="0"/>
        <v>Crítico</v>
      </c>
      <c r="F52" t="e" vm="6">
        <v>#VALUE!</v>
      </c>
    </row>
    <row r="53" spans="1:6" x14ac:dyDescent="0.35">
      <c r="A53" t="s">
        <v>134</v>
      </c>
      <c r="B53" t="s">
        <v>350</v>
      </c>
      <c r="C53" s="24">
        <v>44895</v>
      </c>
      <c r="D53" s="22">
        <v>2943</v>
      </c>
      <c r="E53" s="22" t="str">
        <f t="shared" si="0"/>
        <v>Crítico</v>
      </c>
      <c r="F53" t="e" vm="2">
        <v>#VALUE!</v>
      </c>
    </row>
    <row r="54" spans="1:6" x14ac:dyDescent="0.35">
      <c r="A54" t="s">
        <v>135</v>
      </c>
      <c r="B54" t="s">
        <v>127</v>
      </c>
      <c r="C54" s="24">
        <v>44948</v>
      </c>
      <c r="D54" s="22">
        <v>13460</v>
      </c>
      <c r="E54" s="22" t="str">
        <f t="shared" si="0"/>
        <v>Aceptable</v>
      </c>
      <c r="F54" t="e" vm="6">
        <v>#VALUE!</v>
      </c>
    </row>
    <row r="55" spans="1:6" x14ac:dyDescent="0.35">
      <c r="A55" t="s">
        <v>136</v>
      </c>
      <c r="B55" t="s">
        <v>305</v>
      </c>
      <c r="C55" s="24">
        <v>44912</v>
      </c>
      <c r="D55" s="22">
        <v>16662</v>
      </c>
      <c r="E55" s="22" t="str">
        <f t="shared" si="0"/>
        <v>Aceptable</v>
      </c>
      <c r="F55" t="e" vm="6">
        <v>#VALUE!</v>
      </c>
    </row>
    <row r="56" spans="1:6" x14ac:dyDescent="0.35">
      <c r="A56" t="s">
        <v>137</v>
      </c>
      <c r="B56" t="s">
        <v>350</v>
      </c>
      <c r="C56" s="24">
        <v>44895</v>
      </c>
      <c r="D56" s="22">
        <v>2665</v>
      </c>
      <c r="E56" s="22" t="str">
        <f t="shared" si="0"/>
        <v>Crítico</v>
      </c>
      <c r="F56" t="e" vm="4">
        <v>#VALUE!</v>
      </c>
    </row>
    <row r="57" spans="1:6" x14ac:dyDescent="0.35">
      <c r="A57" t="s">
        <v>138</v>
      </c>
      <c r="B57" t="s">
        <v>81</v>
      </c>
      <c r="C57" s="24">
        <v>44877</v>
      </c>
      <c r="D57" s="22">
        <v>5027</v>
      </c>
      <c r="E57" s="22" t="str">
        <f t="shared" si="0"/>
        <v>Crítico</v>
      </c>
      <c r="F57" t="e" vm="2">
        <v>#VALUE!</v>
      </c>
    </row>
    <row r="58" spans="1:6" x14ac:dyDescent="0.35">
      <c r="A58" t="s">
        <v>139</v>
      </c>
      <c r="B58" t="s">
        <v>305</v>
      </c>
      <c r="C58" s="24">
        <v>44940</v>
      </c>
      <c r="D58" s="22">
        <v>5438</v>
      </c>
      <c r="E58" s="22" t="str">
        <f t="shared" si="0"/>
        <v>Crítico</v>
      </c>
      <c r="F58" t="e" vm="2">
        <v>#VALUE!</v>
      </c>
    </row>
    <row r="59" spans="1:6" x14ac:dyDescent="0.35">
      <c r="A59" t="s">
        <v>140</v>
      </c>
      <c r="B59" t="s">
        <v>361</v>
      </c>
      <c r="C59" s="24">
        <v>44870</v>
      </c>
      <c r="D59" s="22">
        <v>1373</v>
      </c>
      <c r="E59" s="22" t="str">
        <f t="shared" si="0"/>
        <v>Crítico</v>
      </c>
      <c r="F59" t="e" vm="6">
        <v>#VALUE!</v>
      </c>
    </row>
    <row r="60" spans="1:6" x14ac:dyDescent="0.35">
      <c r="A60" t="s">
        <v>141</v>
      </c>
      <c r="B60" t="s">
        <v>350</v>
      </c>
      <c r="C60" s="24">
        <v>44956</v>
      </c>
      <c r="D60" s="22">
        <v>12687</v>
      </c>
      <c r="E60" s="22" t="str">
        <f t="shared" si="0"/>
        <v>Aceptable</v>
      </c>
      <c r="F60" t="e" vm="2">
        <v>#VALUE!</v>
      </c>
    </row>
    <row r="61" spans="1:6" x14ac:dyDescent="0.35">
      <c r="A61" t="s">
        <v>142</v>
      </c>
      <c r="B61" t="s">
        <v>110</v>
      </c>
      <c r="C61" s="24">
        <v>44872</v>
      </c>
      <c r="D61" s="22">
        <v>8356</v>
      </c>
      <c r="E61" s="22" t="str">
        <f t="shared" si="0"/>
        <v>Crítico</v>
      </c>
      <c r="F61" t="e" vm="4">
        <v>#VALUE!</v>
      </c>
    </row>
    <row r="62" spans="1:6" x14ac:dyDescent="0.35">
      <c r="A62" t="s">
        <v>143</v>
      </c>
      <c r="B62" t="s">
        <v>110</v>
      </c>
      <c r="C62" s="24">
        <v>44887</v>
      </c>
      <c r="D62" s="22">
        <v>19525</v>
      </c>
      <c r="E62" s="22" t="str">
        <f t="shared" si="0"/>
        <v>Aceptable</v>
      </c>
      <c r="F62" t="e" vm="6">
        <v>#VALUE!</v>
      </c>
    </row>
    <row r="63" spans="1:6" x14ac:dyDescent="0.35">
      <c r="A63" t="s">
        <v>144</v>
      </c>
      <c r="B63" t="s">
        <v>81</v>
      </c>
      <c r="C63" s="24">
        <v>44950</v>
      </c>
      <c r="D63" s="22">
        <v>6406</v>
      </c>
      <c r="E63" s="22" t="str">
        <f t="shared" si="0"/>
        <v>Crítico</v>
      </c>
      <c r="F63" t="e" vm="4">
        <v>#VALUE!</v>
      </c>
    </row>
    <row r="64" spans="1:6" x14ac:dyDescent="0.35">
      <c r="A64" t="s">
        <v>145</v>
      </c>
      <c r="B64" t="s">
        <v>305</v>
      </c>
      <c r="C64" s="24">
        <v>44875</v>
      </c>
      <c r="D64" s="22">
        <v>15977</v>
      </c>
      <c r="E64" s="22" t="str">
        <f t="shared" si="0"/>
        <v>Aceptable</v>
      </c>
      <c r="F64" t="e" vm="4">
        <v>#VALUE!</v>
      </c>
    </row>
    <row r="65" spans="1:6" x14ac:dyDescent="0.35">
      <c r="A65" t="s">
        <v>146</v>
      </c>
      <c r="B65" t="s">
        <v>425</v>
      </c>
      <c r="C65" s="24">
        <v>44883</v>
      </c>
      <c r="D65" s="22">
        <v>3228</v>
      </c>
      <c r="E65" s="22" t="str">
        <f t="shared" si="0"/>
        <v>Crítico</v>
      </c>
      <c r="F65" t="e" vm="2">
        <v>#VALUE!</v>
      </c>
    </row>
    <row r="66" spans="1:6" x14ac:dyDescent="0.35">
      <c r="A66" t="s">
        <v>147</v>
      </c>
      <c r="B66" t="s">
        <v>350</v>
      </c>
      <c r="C66" s="24">
        <v>44869</v>
      </c>
      <c r="D66" s="22">
        <v>11606</v>
      </c>
      <c r="E66" s="22" t="str">
        <f t="shared" si="0"/>
        <v>Aceptable</v>
      </c>
      <c r="F66" t="e" vm="4">
        <v>#VALUE!</v>
      </c>
    </row>
    <row r="67" spans="1:6" x14ac:dyDescent="0.35">
      <c r="A67" t="s">
        <v>148</v>
      </c>
      <c r="B67" t="s">
        <v>127</v>
      </c>
      <c r="C67" s="24">
        <v>44951</v>
      </c>
      <c r="D67" s="22">
        <v>1421</v>
      </c>
      <c r="E67" s="22" t="str">
        <f t="shared" ref="E67:E130" si="1">IF(D67&lt;$K$3,$I$3,$I$4)</f>
        <v>Crítico</v>
      </c>
      <c r="F67" t="e" vm="6">
        <v>#VALUE!</v>
      </c>
    </row>
    <row r="68" spans="1:6" x14ac:dyDescent="0.35">
      <c r="A68" t="s">
        <v>149</v>
      </c>
      <c r="B68" t="s">
        <v>305</v>
      </c>
      <c r="C68" s="24">
        <v>44879</v>
      </c>
      <c r="D68" s="22">
        <v>13641</v>
      </c>
      <c r="E68" s="22" t="str">
        <f t="shared" si="1"/>
        <v>Aceptable</v>
      </c>
      <c r="F68" t="e" vm="2">
        <v>#VALUE!</v>
      </c>
    </row>
    <row r="69" spans="1:6" x14ac:dyDescent="0.35">
      <c r="A69" t="s">
        <v>150</v>
      </c>
      <c r="B69" t="s">
        <v>361</v>
      </c>
      <c r="C69" s="24">
        <v>44891</v>
      </c>
      <c r="D69" s="22">
        <v>4206</v>
      </c>
      <c r="E69" s="22" t="str">
        <f t="shared" si="1"/>
        <v>Crítico</v>
      </c>
      <c r="F69" t="e" vm="2">
        <v>#VALUE!</v>
      </c>
    </row>
    <row r="70" spans="1:6" x14ac:dyDescent="0.35">
      <c r="A70" t="s">
        <v>151</v>
      </c>
      <c r="B70" t="s">
        <v>110</v>
      </c>
      <c r="C70" s="24">
        <v>44897</v>
      </c>
      <c r="D70" s="22">
        <v>8916</v>
      </c>
      <c r="E70" s="22" t="str">
        <f t="shared" si="1"/>
        <v>Crítico</v>
      </c>
      <c r="F70" t="e" vm="6">
        <v>#VALUE!</v>
      </c>
    </row>
    <row r="71" spans="1:6" x14ac:dyDescent="0.35">
      <c r="A71" t="s">
        <v>152</v>
      </c>
      <c r="B71" t="s">
        <v>110</v>
      </c>
      <c r="C71" s="24">
        <v>44902</v>
      </c>
      <c r="D71" s="22">
        <v>10734</v>
      </c>
      <c r="E71" s="22" t="str">
        <f t="shared" si="1"/>
        <v>Aceptable</v>
      </c>
      <c r="F71" t="e" vm="2">
        <v>#VALUE!</v>
      </c>
    </row>
    <row r="72" spans="1:6" x14ac:dyDescent="0.35">
      <c r="A72" t="s">
        <v>153</v>
      </c>
      <c r="B72" t="s">
        <v>110</v>
      </c>
      <c r="C72" s="24">
        <v>44934</v>
      </c>
      <c r="D72" s="22">
        <v>6795</v>
      </c>
      <c r="E72" s="22" t="str">
        <f t="shared" si="1"/>
        <v>Crítico</v>
      </c>
      <c r="F72" t="e" vm="2">
        <v>#VALUE!</v>
      </c>
    </row>
    <row r="73" spans="1:6" x14ac:dyDescent="0.35">
      <c r="A73" t="s">
        <v>154</v>
      </c>
      <c r="B73" t="s">
        <v>127</v>
      </c>
      <c r="C73" s="24">
        <v>44867</v>
      </c>
      <c r="D73" s="22">
        <v>15614</v>
      </c>
      <c r="E73" s="22" t="str">
        <f t="shared" si="1"/>
        <v>Aceptable</v>
      </c>
      <c r="F73" t="e" vm="4">
        <v>#VALUE!</v>
      </c>
    </row>
    <row r="74" spans="1:6" x14ac:dyDescent="0.35">
      <c r="A74" t="s">
        <v>155</v>
      </c>
      <c r="B74" t="s">
        <v>305</v>
      </c>
      <c r="C74" s="24">
        <v>44915</v>
      </c>
      <c r="D74" s="22">
        <v>1017</v>
      </c>
      <c r="E74" s="22" t="str">
        <f t="shared" si="1"/>
        <v>Crítico</v>
      </c>
      <c r="F74" t="e" vm="4">
        <v>#VALUE!</v>
      </c>
    </row>
    <row r="75" spans="1:6" x14ac:dyDescent="0.35">
      <c r="A75" t="s">
        <v>156</v>
      </c>
      <c r="B75" t="s">
        <v>425</v>
      </c>
      <c r="C75" s="24">
        <v>44909</v>
      </c>
      <c r="D75" s="22">
        <v>17339</v>
      </c>
      <c r="E75" s="22" t="str">
        <f t="shared" si="1"/>
        <v>Aceptable</v>
      </c>
      <c r="F75" t="e" vm="4">
        <v>#VALUE!</v>
      </c>
    </row>
    <row r="76" spans="1:6" x14ac:dyDescent="0.35">
      <c r="A76" t="s">
        <v>157</v>
      </c>
      <c r="B76" t="s">
        <v>110</v>
      </c>
      <c r="C76" s="24">
        <v>44909</v>
      </c>
      <c r="D76" s="22">
        <v>17939</v>
      </c>
      <c r="E76" s="22" t="str">
        <f t="shared" si="1"/>
        <v>Aceptable</v>
      </c>
      <c r="F76" t="e" vm="4">
        <v>#VALUE!</v>
      </c>
    </row>
    <row r="77" spans="1:6" x14ac:dyDescent="0.35">
      <c r="A77" t="s">
        <v>158</v>
      </c>
      <c r="B77" t="s">
        <v>127</v>
      </c>
      <c r="C77" s="24">
        <v>44911</v>
      </c>
      <c r="D77" s="22">
        <v>4292</v>
      </c>
      <c r="E77" s="22" t="str">
        <f t="shared" si="1"/>
        <v>Crítico</v>
      </c>
      <c r="F77" t="e" vm="2">
        <v>#VALUE!</v>
      </c>
    </row>
    <row r="78" spans="1:6" x14ac:dyDescent="0.35">
      <c r="A78" t="s">
        <v>159</v>
      </c>
      <c r="B78" t="s">
        <v>425</v>
      </c>
      <c r="C78" s="24">
        <v>44875</v>
      </c>
      <c r="D78" s="22">
        <v>8975</v>
      </c>
      <c r="E78" s="22" t="str">
        <f t="shared" si="1"/>
        <v>Crítico</v>
      </c>
      <c r="F78" t="e" vm="2">
        <v>#VALUE!</v>
      </c>
    </row>
    <row r="79" spans="1:6" x14ac:dyDescent="0.35">
      <c r="A79" t="s">
        <v>160</v>
      </c>
      <c r="B79" t="s">
        <v>425</v>
      </c>
      <c r="C79" s="24">
        <v>44884</v>
      </c>
      <c r="D79" s="22">
        <v>18397</v>
      </c>
      <c r="E79" s="22" t="str">
        <f t="shared" si="1"/>
        <v>Aceptable</v>
      </c>
      <c r="F79" t="e" vm="4">
        <v>#VALUE!</v>
      </c>
    </row>
    <row r="80" spans="1:6" x14ac:dyDescent="0.35">
      <c r="A80" t="s">
        <v>161</v>
      </c>
      <c r="B80" t="s">
        <v>127</v>
      </c>
      <c r="C80" s="24">
        <v>44872</v>
      </c>
      <c r="D80" s="22">
        <v>16951</v>
      </c>
      <c r="E80" s="22" t="str">
        <f t="shared" si="1"/>
        <v>Aceptable</v>
      </c>
      <c r="F80" t="e" vm="6">
        <v>#VALUE!</v>
      </c>
    </row>
    <row r="81" spans="1:6" x14ac:dyDescent="0.35">
      <c r="A81" t="s">
        <v>162</v>
      </c>
      <c r="B81" t="s">
        <v>350</v>
      </c>
      <c r="C81" s="24">
        <v>44944</v>
      </c>
      <c r="D81" s="22">
        <v>9083</v>
      </c>
      <c r="E81" s="22" t="str">
        <f t="shared" si="1"/>
        <v>Crítico</v>
      </c>
      <c r="F81" t="e" vm="6">
        <v>#VALUE!</v>
      </c>
    </row>
    <row r="82" spans="1:6" x14ac:dyDescent="0.35">
      <c r="A82" t="s">
        <v>163</v>
      </c>
      <c r="B82" t="s">
        <v>110</v>
      </c>
      <c r="C82" s="24">
        <v>44922</v>
      </c>
      <c r="D82" s="22">
        <v>2891</v>
      </c>
      <c r="E82" s="22" t="str">
        <f t="shared" si="1"/>
        <v>Crítico</v>
      </c>
      <c r="F82" t="e" vm="6">
        <v>#VALUE!</v>
      </c>
    </row>
    <row r="83" spans="1:6" x14ac:dyDescent="0.35">
      <c r="A83" t="s">
        <v>164</v>
      </c>
      <c r="B83" t="s">
        <v>81</v>
      </c>
      <c r="C83" s="24">
        <v>44935</v>
      </c>
      <c r="D83" s="22">
        <v>3912</v>
      </c>
      <c r="E83" s="22" t="str">
        <f t="shared" si="1"/>
        <v>Crítico</v>
      </c>
      <c r="F83" t="e" vm="4">
        <v>#VALUE!</v>
      </c>
    </row>
    <row r="84" spans="1:6" x14ac:dyDescent="0.35">
      <c r="A84" t="s">
        <v>165</v>
      </c>
      <c r="B84" t="s">
        <v>350</v>
      </c>
      <c r="C84" s="24">
        <v>44866</v>
      </c>
      <c r="D84" s="22">
        <v>16032</v>
      </c>
      <c r="E84" s="22" t="str">
        <f t="shared" si="1"/>
        <v>Aceptable</v>
      </c>
      <c r="F84" t="e" vm="2">
        <v>#VALUE!</v>
      </c>
    </row>
    <row r="85" spans="1:6" x14ac:dyDescent="0.35">
      <c r="A85" t="s">
        <v>166</v>
      </c>
      <c r="B85" t="s">
        <v>127</v>
      </c>
      <c r="C85" s="24">
        <v>44910</v>
      </c>
      <c r="D85" s="22">
        <v>9773</v>
      </c>
      <c r="E85" s="22" t="str">
        <f t="shared" si="1"/>
        <v>Crítico</v>
      </c>
      <c r="F85" t="e" vm="2">
        <v>#VALUE!</v>
      </c>
    </row>
    <row r="86" spans="1:6" x14ac:dyDescent="0.35">
      <c r="A86" t="s">
        <v>167</v>
      </c>
      <c r="B86" t="s">
        <v>361</v>
      </c>
      <c r="C86" s="24">
        <v>44868</v>
      </c>
      <c r="D86" s="22">
        <v>12734</v>
      </c>
      <c r="E86" s="22" t="str">
        <f t="shared" si="1"/>
        <v>Aceptable</v>
      </c>
      <c r="F86" t="e" vm="4">
        <v>#VALUE!</v>
      </c>
    </row>
    <row r="87" spans="1:6" x14ac:dyDescent="0.35">
      <c r="A87" t="s">
        <v>168</v>
      </c>
      <c r="B87" t="s">
        <v>425</v>
      </c>
      <c r="C87" s="24">
        <v>44931</v>
      </c>
      <c r="D87" s="22">
        <v>5561</v>
      </c>
      <c r="E87" s="22" t="str">
        <f t="shared" si="1"/>
        <v>Crítico</v>
      </c>
      <c r="F87" t="e" vm="2">
        <v>#VALUE!</v>
      </c>
    </row>
    <row r="88" spans="1:6" x14ac:dyDescent="0.35">
      <c r="A88" t="s">
        <v>169</v>
      </c>
      <c r="B88" t="s">
        <v>305</v>
      </c>
      <c r="C88" s="24">
        <v>44945</v>
      </c>
      <c r="D88" s="22">
        <v>3590</v>
      </c>
      <c r="E88" s="22" t="str">
        <f t="shared" si="1"/>
        <v>Crítico</v>
      </c>
      <c r="F88" t="e" vm="6">
        <v>#VALUE!</v>
      </c>
    </row>
    <row r="89" spans="1:6" x14ac:dyDescent="0.35">
      <c r="A89" t="s">
        <v>170</v>
      </c>
      <c r="B89" t="s">
        <v>305</v>
      </c>
      <c r="C89" s="24">
        <v>44925</v>
      </c>
      <c r="D89" s="22">
        <v>13155</v>
      </c>
      <c r="E89" s="22" t="str">
        <f t="shared" si="1"/>
        <v>Aceptable</v>
      </c>
      <c r="F89" t="e" vm="4">
        <v>#VALUE!</v>
      </c>
    </row>
    <row r="90" spans="1:6" x14ac:dyDescent="0.35">
      <c r="A90" t="s">
        <v>171</v>
      </c>
      <c r="B90" t="s">
        <v>110</v>
      </c>
      <c r="C90" s="24">
        <v>44917</v>
      </c>
      <c r="D90" s="22">
        <v>18016</v>
      </c>
      <c r="E90" s="22" t="str">
        <f t="shared" si="1"/>
        <v>Aceptable</v>
      </c>
      <c r="F90" t="e" vm="4">
        <v>#VALUE!</v>
      </c>
    </row>
    <row r="91" spans="1:6" x14ac:dyDescent="0.35">
      <c r="A91" t="s">
        <v>172</v>
      </c>
      <c r="B91" t="s">
        <v>350</v>
      </c>
      <c r="C91" s="24">
        <v>44903</v>
      </c>
      <c r="D91" s="22">
        <v>19192</v>
      </c>
      <c r="E91" s="22" t="str">
        <f t="shared" si="1"/>
        <v>Aceptable</v>
      </c>
      <c r="F91" t="e" vm="2">
        <v>#VALUE!</v>
      </c>
    </row>
    <row r="92" spans="1:6" x14ac:dyDescent="0.35">
      <c r="A92" t="s">
        <v>173</v>
      </c>
      <c r="B92" t="s">
        <v>425</v>
      </c>
      <c r="C92" s="24">
        <v>44868</v>
      </c>
      <c r="D92" s="22">
        <v>16909</v>
      </c>
      <c r="E92" s="22" t="str">
        <f t="shared" si="1"/>
        <v>Aceptable</v>
      </c>
      <c r="F92" t="e" vm="2">
        <v>#VALUE!</v>
      </c>
    </row>
    <row r="93" spans="1:6" x14ac:dyDescent="0.35">
      <c r="A93" t="s">
        <v>174</v>
      </c>
      <c r="B93" t="s">
        <v>361</v>
      </c>
      <c r="C93" s="24">
        <v>44932</v>
      </c>
      <c r="D93" s="22">
        <v>14028</v>
      </c>
      <c r="E93" s="22" t="str">
        <f t="shared" si="1"/>
        <v>Aceptable</v>
      </c>
      <c r="F93" t="e" vm="6">
        <v>#VALUE!</v>
      </c>
    </row>
    <row r="94" spans="1:6" x14ac:dyDescent="0.35">
      <c r="A94" t="s">
        <v>175</v>
      </c>
      <c r="B94" t="s">
        <v>361</v>
      </c>
      <c r="C94" s="24">
        <v>44909</v>
      </c>
      <c r="D94" s="22">
        <v>6054</v>
      </c>
      <c r="E94" s="22" t="str">
        <f t="shared" si="1"/>
        <v>Crítico</v>
      </c>
      <c r="F94" t="e" vm="6">
        <v>#VALUE!</v>
      </c>
    </row>
    <row r="95" spans="1:6" x14ac:dyDescent="0.35">
      <c r="A95" t="s">
        <v>176</v>
      </c>
      <c r="B95" t="s">
        <v>361</v>
      </c>
      <c r="C95" s="24">
        <v>44951</v>
      </c>
      <c r="D95" s="22">
        <v>15417</v>
      </c>
      <c r="E95" s="22" t="str">
        <f t="shared" si="1"/>
        <v>Aceptable</v>
      </c>
      <c r="F95" t="e" vm="4">
        <v>#VALUE!</v>
      </c>
    </row>
    <row r="96" spans="1:6" x14ac:dyDescent="0.35">
      <c r="A96" t="s">
        <v>177</v>
      </c>
      <c r="B96" t="s">
        <v>361</v>
      </c>
      <c r="C96" s="24">
        <v>44877</v>
      </c>
      <c r="D96" s="22">
        <v>5773</v>
      </c>
      <c r="E96" s="22" t="str">
        <f t="shared" si="1"/>
        <v>Crítico</v>
      </c>
      <c r="F96" t="e" vm="4">
        <v>#VALUE!</v>
      </c>
    </row>
    <row r="97" spans="1:6" x14ac:dyDescent="0.35">
      <c r="A97" t="s">
        <v>178</v>
      </c>
      <c r="B97" t="s">
        <v>361</v>
      </c>
      <c r="C97" s="24">
        <v>44930</v>
      </c>
      <c r="D97" s="22">
        <v>6192</v>
      </c>
      <c r="E97" s="22" t="str">
        <f t="shared" si="1"/>
        <v>Crítico</v>
      </c>
      <c r="F97" t="e" vm="2">
        <v>#VALUE!</v>
      </c>
    </row>
    <row r="98" spans="1:6" x14ac:dyDescent="0.35">
      <c r="A98" t="s">
        <v>179</v>
      </c>
      <c r="B98" t="s">
        <v>81</v>
      </c>
      <c r="C98" s="24">
        <v>44927</v>
      </c>
      <c r="D98" s="22">
        <v>10880</v>
      </c>
      <c r="E98" s="22" t="str">
        <f t="shared" si="1"/>
        <v>Aceptable</v>
      </c>
      <c r="F98" t="e" vm="4">
        <v>#VALUE!</v>
      </c>
    </row>
    <row r="99" spans="1:6" x14ac:dyDescent="0.35">
      <c r="A99" t="s">
        <v>180</v>
      </c>
      <c r="B99" t="s">
        <v>361</v>
      </c>
      <c r="C99" s="24">
        <v>44932</v>
      </c>
      <c r="D99" s="22">
        <v>15466</v>
      </c>
      <c r="E99" s="22" t="str">
        <f t="shared" si="1"/>
        <v>Aceptable</v>
      </c>
      <c r="F99" t="e" vm="2">
        <v>#VALUE!</v>
      </c>
    </row>
    <row r="100" spans="1:6" x14ac:dyDescent="0.35">
      <c r="A100" t="s">
        <v>181</v>
      </c>
      <c r="B100" t="s">
        <v>305</v>
      </c>
      <c r="C100" s="24">
        <v>44913</v>
      </c>
      <c r="D100" s="22">
        <v>11611</v>
      </c>
      <c r="E100" s="22" t="str">
        <f t="shared" si="1"/>
        <v>Aceptable</v>
      </c>
      <c r="F100" t="e" vm="4">
        <v>#VALUE!</v>
      </c>
    </row>
    <row r="101" spans="1:6" x14ac:dyDescent="0.35">
      <c r="A101" t="s">
        <v>182</v>
      </c>
      <c r="B101" t="s">
        <v>425</v>
      </c>
      <c r="C101" s="24">
        <v>44942</v>
      </c>
      <c r="D101" s="22">
        <v>3372</v>
      </c>
      <c r="E101" s="22" t="str">
        <f t="shared" si="1"/>
        <v>Crítico</v>
      </c>
      <c r="F101" t="e" vm="2">
        <v>#VALUE!</v>
      </c>
    </row>
    <row r="102" spans="1:6" x14ac:dyDescent="0.35">
      <c r="A102" t="s">
        <v>183</v>
      </c>
      <c r="B102" t="s">
        <v>127</v>
      </c>
      <c r="C102" s="24">
        <v>44907</v>
      </c>
      <c r="D102" s="22">
        <v>15712</v>
      </c>
      <c r="E102" s="22" t="str">
        <f t="shared" si="1"/>
        <v>Aceptable</v>
      </c>
      <c r="F102" t="e" vm="4">
        <v>#VALUE!</v>
      </c>
    </row>
    <row r="103" spans="1:6" x14ac:dyDescent="0.35">
      <c r="A103" t="s">
        <v>184</v>
      </c>
      <c r="B103" t="s">
        <v>361</v>
      </c>
      <c r="C103" s="24">
        <v>44896</v>
      </c>
      <c r="D103" s="22">
        <v>17454</v>
      </c>
      <c r="E103" s="22" t="str">
        <f t="shared" si="1"/>
        <v>Aceptable</v>
      </c>
      <c r="F103" t="e" vm="6">
        <v>#VALUE!</v>
      </c>
    </row>
    <row r="104" spans="1:6" x14ac:dyDescent="0.35">
      <c r="A104" t="s">
        <v>185</v>
      </c>
      <c r="B104" t="s">
        <v>110</v>
      </c>
      <c r="C104" s="24">
        <v>44942</v>
      </c>
      <c r="D104" s="22">
        <v>13980</v>
      </c>
      <c r="E104" s="22" t="str">
        <f t="shared" si="1"/>
        <v>Aceptable</v>
      </c>
      <c r="F104" t="e" vm="6">
        <v>#VALUE!</v>
      </c>
    </row>
    <row r="105" spans="1:6" x14ac:dyDescent="0.35">
      <c r="A105" t="s">
        <v>186</v>
      </c>
      <c r="B105" t="s">
        <v>110</v>
      </c>
      <c r="C105" s="24">
        <v>44930</v>
      </c>
      <c r="D105" s="22">
        <v>5588</v>
      </c>
      <c r="E105" s="22" t="str">
        <f t="shared" si="1"/>
        <v>Crítico</v>
      </c>
      <c r="F105" t="e" vm="2">
        <v>#VALUE!</v>
      </c>
    </row>
    <row r="106" spans="1:6" x14ac:dyDescent="0.35">
      <c r="A106" t="s">
        <v>187</v>
      </c>
      <c r="B106" t="s">
        <v>361</v>
      </c>
      <c r="C106" s="24">
        <v>44899</v>
      </c>
      <c r="D106" s="22">
        <v>12010</v>
      </c>
      <c r="E106" s="22" t="str">
        <f t="shared" si="1"/>
        <v>Aceptable</v>
      </c>
      <c r="F106" t="e" vm="4">
        <v>#VALUE!</v>
      </c>
    </row>
    <row r="107" spans="1:6" x14ac:dyDescent="0.35">
      <c r="A107" t="s">
        <v>188</v>
      </c>
      <c r="B107" t="s">
        <v>305</v>
      </c>
      <c r="C107" s="24">
        <v>44934</v>
      </c>
      <c r="D107" s="22">
        <v>14619</v>
      </c>
      <c r="E107" s="22" t="str">
        <f t="shared" si="1"/>
        <v>Aceptable</v>
      </c>
      <c r="F107" t="e" vm="6">
        <v>#VALUE!</v>
      </c>
    </row>
    <row r="108" spans="1:6" x14ac:dyDescent="0.35">
      <c r="A108" t="s">
        <v>189</v>
      </c>
      <c r="B108" t="s">
        <v>305</v>
      </c>
      <c r="C108" s="24">
        <v>44919</v>
      </c>
      <c r="D108" s="22">
        <v>2531</v>
      </c>
      <c r="E108" s="22" t="str">
        <f t="shared" si="1"/>
        <v>Crítico</v>
      </c>
      <c r="F108" t="e" vm="2">
        <v>#VALUE!</v>
      </c>
    </row>
    <row r="109" spans="1:6" x14ac:dyDescent="0.35">
      <c r="A109" t="s">
        <v>190</v>
      </c>
      <c r="B109" t="s">
        <v>81</v>
      </c>
      <c r="C109" s="24">
        <v>44910</v>
      </c>
      <c r="D109" s="22">
        <v>7682</v>
      </c>
      <c r="E109" s="22" t="str">
        <f t="shared" si="1"/>
        <v>Crítico</v>
      </c>
      <c r="F109" t="e" vm="6">
        <v>#VALUE!</v>
      </c>
    </row>
    <row r="110" spans="1:6" x14ac:dyDescent="0.35">
      <c r="A110" t="s">
        <v>191</v>
      </c>
      <c r="B110" t="s">
        <v>361</v>
      </c>
      <c r="C110" s="24">
        <v>44956</v>
      </c>
      <c r="D110" s="22">
        <v>15925</v>
      </c>
      <c r="E110" s="22" t="str">
        <f t="shared" si="1"/>
        <v>Aceptable</v>
      </c>
      <c r="F110" t="e" vm="6">
        <v>#VALUE!</v>
      </c>
    </row>
    <row r="111" spans="1:6" x14ac:dyDescent="0.35">
      <c r="A111" t="s">
        <v>192</v>
      </c>
      <c r="B111" t="s">
        <v>110</v>
      </c>
      <c r="C111" s="24">
        <v>44910</v>
      </c>
      <c r="D111" s="22">
        <v>3501</v>
      </c>
      <c r="E111" s="22" t="str">
        <f t="shared" si="1"/>
        <v>Crítico</v>
      </c>
      <c r="F111" t="e" vm="4">
        <v>#VALUE!</v>
      </c>
    </row>
    <row r="112" spans="1:6" x14ac:dyDescent="0.35">
      <c r="A112" t="s">
        <v>193</v>
      </c>
      <c r="B112" t="s">
        <v>361</v>
      </c>
      <c r="C112" s="24">
        <v>44937</v>
      </c>
      <c r="D112" s="22">
        <v>7700</v>
      </c>
      <c r="E112" s="22" t="str">
        <f t="shared" si="1"/>
        <v>Crítico</v>
      </c>
      <c r="F112" t="e" vm="6">
        <v>#VALUE!</v>
      </c>
    </row>
    <row r="113" spans="1:6" x14ac:dyDescent="0.35">
      <c r="A113" t="s">
        <v>194</v>
      </c>
      <c r="B113" t="s">
        <v>350</v>
      </c>
      <c r="C113" s="24">
        <v>44882</v>
      </c>
      <c r="D113" s="22">
        <v>12379</v>
      </c>
      <c r="E113" s="22" t="str">
        <f t="shared" si="1"/>
        <v>Aceptable</v>
      </c>
      <c r="F113" t="e" vm="4">
        <v>#VALUE!</v>
      </c>
    </row>
    <row r="114" spans="1:6" x14ac:dyDescent="0.35">
      <c r="A114" t="s">
        <v>195</v>
      </c>
      <c r="B114" t="s">
        <v>361</v>
      </c>
      <c r="C114" s="24">
        <v>44918</v>
      </c>
      <c r="D114" s="22">
        <v>8039</v>
      </c>
      <c r="E114" s="22" t="str">
        <f t="shared" si="1"/>
        <v>Crítico</v>
      </c>
      <c r="F114" t="e" vm="6">
        <v>#VALUE!</v>
      </c>
    </row>
    <row r="115" spans="1:6" x14ac:dyDescent="0.35">
      <c r="A115" t="s">
        <v>196</v>
      </c>
      <c r="B115" t="s">
        <v>361</v>
      </c>
      <c r="C115" s="24">
        <v>44896</v>
      </c>
      <c r="D115" s="22">
        <v>9212</v>
      </c>
      <c r="E115" s="22" t="str">
        <f t="shared" si="1"/>
        <v>Crítico</v>
      </c>
      <c r="F115" t="e" vm="2">
        <v>#VALUE!</v>
      </c>
    </row>
    <row r="116" spans="1:6" x14ac:dyDescent="0.35">
      <c r="A116" t="s">
        <v>197</v>
      </c>
      <c r="B116" t="s">
        <v>110</v>
      </c>
      <c r="C116" s="24">
        <v>44937</v>
      </c>
      <c r="D116" s="22">
        <v>8677</v>
      </c>
      <c r="E116" s="22" t="str">
        <f t="shared" si="1"/>
        <v>Crítico</v>
      </c>
      <c r="F116" t="e" vm="2">
        <v>#VALUE!</v>
      </c>
    </row>
    <row r="117" spans="1:6" x14ac:dyDescent="0.35">
      <c r="A117" t="s">
        <v>198</v>
      </c>
      <c r="B117" t="s">
        <v>305</v>
      </c>
      <c r="C117" s="24">
        <v>44950</v>
      </c>
      <c r="D117" s="22">
        <v>6957</v>
      </c>
      <c r="E117" s="22" t="str">
        <f t="shared" si="1"/>
        <v>Crítico</v>
      </c>
      <c r="F117" t="e" vm="2">
        <v>#VALUE!</v>
      </c>
    </row>
    <row r="118" spans="1:6" x14ac:dyDescent="0.35">
      <c r="A118" t="s">
        <v>199</v>
      </c>
      <c r="B118" t="s">
        <v>127</v>
      </c>
      <c r="C118" s="24">
        <v>44935</v>
      </c>
      <c r="D118" s="22">
        <v>2693</v>
      </c>
      <c r="E118" s="22" t="str">
        <f t="shared" si="1"/>
        <v>Crítico</v>
      </c>
      <c r="F118" t="e" vm="2">
        <v>#VALUE!</v>
      </c>
    </row>
    <row r="119" spans="1:6" x14ac:dyDescent="0.35">
      <c r="A119" t="s">
        <v>200</v>
      </c>
      <c r="B119" t="s">
        <v>127</v>
      </c>
      <c r="C119" s="24">
        <v>44935</v>
      </c>
      <c r="D119" s="22">
        <v>7190</v>
      </c>
      <c r="E119" s="22" t="str">
        <f t="shared" si="1"/>
        <v>Crítico</v>
      </c>
      <c r="F119" t="e" vm="2">
        <v>#VALUE!</v>
      </c>
    </row>
    <row r="120" spans="1:6" x14ac:dyDescent="0.35">
      <c r="A120" t="s">
        <v>201</v>
      </c>
      <c r="B120" t="s">
        <v>127</v>
      </c>
      <c r="C120" s="24">
        <v>44894</v>
      </c>
      <c r="D120" s="22">
        <v>1702</v>
      </c>
      <c r="E120" s="22" t="str">
        <f t="shared" si="1"/>
        <v>Crítico</v>
      </c>
      <c r="F120" t="e" vm="6">
        <v>#VALUE!</v>
      </c>
    </row>
    <row r="121" spans="1:6" x14ac:dyDescent="0.35">
      <c r="A121" t="s">
        <v>202</v>
      </c>
      <c r="B121" t="s">
        <v>361</v>
      </c>
      <c r="C121" s="24">
        <v>44910</v>
      </c>
      <c r="D121" s="22">
        <v>15953</v>
      </c>
      <c r="E121" s="22" t="str">
        <f t="shared" si="1"/>
        <v>Aceptable</v>
      </c>
      <c r="F121" t="e" vm="4">
        <v>#VALUE!</v>
      </c>
    </row>
    <row r="122" spans="1:6" x14ac:dyDescent="0.35">
      <c r="A122" t="s">
        <v>203</v>
      </c>
      <c r="B122" t="s">
        <v>305</v>
      </c>
      <c r="C122" s="24">
        <v>44866</v>
      </c>
      <c r="D122" s="22">
        <v>12799</v>
      </c>
      <c r="E122" s="22" t="str">
        <f t="shared" si="1"/>
        <v>Aceptable</v>
      </c>
      <c r="F122" t="e" vm="2">
        <v>#VALUE!</v>
      </c>
    </row>
    <row r="123" spans="1:6" x14ac:dyDescent="0.35">
      <c r="A123" t="s">
        <v>204</v>
      </c>
      <c r="B123" t="s">
        <v>127</v>
      </c>
      <c r="C123" s="24">
        <v>44947</v>
      </c>
      <c r="D123" s="22">
        <v>5882</v>
      </c>
      <c r="E123" s="22" t="str">
        <f t="shared" si="1"/>
        <v>Crítico</v>
      </c>
      <c r="F123" t="e" vm="6">
        <v>#VALUE!</v>
      </c>
    </row>
    <row r="124" spans="1:6" x14ac:dyDescent="0.35">
      <c r="A124" t="s">
        <v>205</v>
      </c>
      <c r="B124" t="s">
        <v>127</v>
      </c>
      <c r="C124" s="24">
        <v>44883</v>
      </c>
      <c r="D124" s="22">
        <v>3489</v>
      </c>
      <c r="E124" s="22" t="str">
        <f t="shared" si="1"/>
        <v>Crítico</v>
      </c>
      <c r="F124" t="e" vm="6">
        <v>#VALUE!</v>
      </c>
    </row>
    <row r="125" spans="1:6" x14ac:dyDescent="0.35">
      <c r="A125" t="s">
        <v>206</v>
      </c>
      <c r="B125" t="s">
        <v>81</v>
      </c>
      <c r="C125" s="24">
        <v>44910</v>
      </c>
      <c r="D125" s="22">
        <v>1960</v>
      </c>
      <c r="E125" s="22" t="str">
        <f t="shared" si="1"/>
        <v>Crítico</v>
      </c>
      <c r="F125" t="e" vm="6">
        <v>#VALUE!</v>
      </c>
    </row>
    <row r="126" spans="1:6" x14ac:dyDescent="0.35">
      <c r="A126" t="s">
        <v>207</v>
      </c>
      <c r="B126" t="s">
        <v>127</v>
      </c>
      <c r="C126" s="24">
        <v>44949</v>
      </c>
      <c r="D126" s="22">
        <v>16978</v>
      </c>
      <c r="E126" s="22" t="str">
        <f t="shared" si="1"/>
        <v>Aceptable</v>
      </c>
      <c r="F126" t="e" vm="2">
        <v>#VALUE!</v>
      </c>
    </row>
    <row r="127" spans="1:6" x14ac:dyDescent="0.35">
      <c r="A127" t="s">
        <v>208</v>
      </c>
      <c r="B127" t="s">
        <v>361</v>
      </c>
      <c r="C127" s="24">
        <v>44954</v>
      </c>
      <c r="D127" s="22">
        <v>15840</v>
      </c>
      <c r="E127" s="22" t="str">
        <f t="shared" si="1"/>
        <v>Aceptable</v>
      </c>
      <c r="F127" t="e" vm="6">
        <v>#VALUE!</v>
      </c>
    </row>
    <row r="128" spans="1:6" x14ac:dyDescent="0.35">
      <c r="A128" t="s">
        <v>209</v>
      </c>
      <c r="B128" t="s">
        <v>81</v>
      </c>
      <c r="C128" s="24">
        <v>44870</v>
      </c>
      <c r="D128" s="22">
        <v>11007</v>
      </c>
      <c r="E128" s="22" t="str">
        <f t="shared" si="1"/>
        <v>Aceptable</v>
      </c>
      <c r="F128" t="e" vm="6">
        <v>#VALUE!</v>
      </c>
    </row>
    <row r="129" spans="1:6" x14ac:dyDescent="0.35">
      <c r="A129" t="s">
        <v>210</v>
      </c>
      <c r="B129" t="s">
        <v>81</v>
      </c>
      <c r="C129" s="24">
        <v>44900</v>
      </c>
      <c r="D129" s="22">
        <v>2762</v>
      </c>
      <c r="E129" s="22" t="str">
        <f t="shared" si="1"/>
        <v>Crítico</v>
      </c>
      <c r="F129" t="e" vm="6">
        <v>#VALUE!</v>
      </c>
    </row>
    <row r="130" spans="1:6" x14ac:dyDescent="0.35">
      <c r="A130" t="s">
        <v>211</v>
      </c>
      <c r="B130" t="s">
        <v>110</v>
      </c>
      <c r="C130" s="24">
        <v>44952</v>
      </c>
      <c r="D130" s="22">
        <v>6494</v>
      </c>
      <c r="E130" s="22" t="str">
        <f t="shared" si="1"/>
        <v>Crítico</v>
      </c>
      <c r="F130" t="e" vm="6">
        <v>#VALUE!</v>
      </c>
    </row>
    <row r="131" spans="1:6" x14ac:dyDescent="0.35">
      <c r="A131" t="s">
        <v>212</v>
      </c>
      <c r="B131" t="s">
        <v>110</v>
      </c>
      <c r="C131" s="24">
        <v>44874</v>
      </c>
      <c r="D131" s="22">
        <v>14042</v>
      </c>
      <c r="E131" s="22" t="str">
        <f t="shared" ref="E131:E194" si="2">IF(D131&lt;$K$3,$I$3,$I$4)</f>
        <v>Aceptable</v>
      </c>
      <c r="F131" t="e" vm="4">
        <v>#VALUE!</v>
      </c>
    </row>
    <row r="132" spans="1:6" x14ac:dyDescent="0.35">
      <c r="A132" t="s">
        <v>213</v>
      </c>
      <c r="B132" t="s">
        <v>361</v>
      </c>
      <c r="C132" s="24">
        <v>44883</v>
      </c>
      <c r="D132" s="22">
        <v>18066</v>
      </c>
      <c r="E132" s="22" t="str">
        <f t="shared" si="2"/>
        <v>Aceptable</v>
      </c>
      <c r="F132" t="e" vm="4">
        <v>#VALUE!</v>
      </c>
    </row>
    <row r="133" spans="1:6" x14ac:dyDescent="0.35">
      <c r="A133" t="s">
        <v>214</v>
      </c>
      <c r="B133" t="s">
        <v>127</v>
      </c>
      <c r="C133" s="24">
        <v>44884</v>
      </c>
      <c r="D133" s="22">
        <v>18119</v>
      </c>
      <c r="E133" s="22" t="str">
        <f t="shared" si="2"/>
        <v>Aceptable</v>
      </c>
      <c r="F133" t="e" vm="6">
        <v>#VALUE!</v>
      </c>
    </row>
    <row r="134" spans="1:6" x14ac:dyDescent="0.35">
      <c r="A134" t="s">
        <v>215</v>
      </c>
      <c r="B134" t="s">
        <v>361</v>
      </c>
      <c r="C134" s="24">
        <v>44902</v>
      </c>
      <c r="D134" s="22">
        <v>16003</v>
      </c>
      <c r="E134" s="22" t="str">
        <f t="shared" si="2"/>
        <v>Aceptable</v>
      </c>
      <c r="F134" t="e" vm="2">
        <v>#VALUE!</v>
      </c>
    </row>
    <row r="135" spans="1:6" x14ac:dyDescent="0.35">
      <c r="A135" t="s">
        <v>216</v>
      </c>
      <c r="B135" t="s">
        <v>350</v>
      </c>
      <c r="C135" s="24">
        <v>44891</v>
      </c>
      <c r="D135" s="22">
        <v>17271</v>
      </c>
      <c r="E135" s="22" t="str">
        <f t="shared" si="2"/>
        <v>Aceptable</v>
      </c>
      <c r="F135" t="e" vm="2">
        <v>#VALUE!</v>
      </c>
    </row>
    <row r="136" spans="1:6" x14ac:dyDescent="0.35">
      <c r="A136" t="s">
        <v>217</v>
      </c>
      <c r="B136" t="s">
        <v>305</v>
      </c>
      <c r="C136" s="24">
        <v>44940</v>
      </c>
      <c r="D136" s="22">
        <v>15404</v>
      </c>
      <c r="E136" s="22" t="str">
        <f t="shared" si="2"/>
        <v>Aceptable</v>
      </c>
      <c r="F136" t="e" vm="4">
        <v>#VALUE!</v>
      </c>
    </row>
    <row r="137" spans="1:6" x14ac:dyDescent="0.35">
      <c r="A137" t="s">
        <v>218</v>
      </c>
      <c r="B137" t="s">
        <v>81</v>
      </c>
      <c r="C137" s="24">
        <v>44912</v>
      </c>
      <c r="D137" s="22">
        <v>9199</v>
      </c>
      <c r="E137" s="22" t="str">
        <f t="shared" si="2"/>
        <v>Crítico</v>
      </c>
      <c r="F137" t="e" vm="4">
        <v>#VALUE!</v>
      </c>
    </row>
    <row r="138" spans="1:6" x14ac:dyDescent="0.35">
      <c r="A138" t="s">
        <v>219</v>
      </c>
      <c r="B138" t="s">
        <v>350</v>
      </c>
      <c r="C138" s="24">
        <v>44917</v>
      </c>
      <c r="D138" s="22">
        <v>9376</v>
      </c>
      <c r="E138" s="22" t="str">
        <f t="shared" si="2"/>
        <v>Crítico</v>
      </c>
      <c r="F138" t="e" vm="2">
        <v>#VALUE!</v>
      </c>
    </row>
    <row r="139" spans="1:6" x14ac:dyDescent="0.35">
      <c r="A139" t="s">
        <v>220</v>
      </c>
      <c r="B139" t="s">
        <v>81</v>
      </c>
      <c r="C139" s="24">
        <v>44933</v>
      </c>
      <c r="D139" s="22">
        <v>2011</v>
      </c>
      <c r="E139" s="22" t="str">
        <f t="shared" si="2"/>
        <v>Crítico</v>
      </c>
      <c r="F139" t="e" vm="2">
        <v>#VALUE!</v>
      </c>
    </row>
    <row r="140" spans="1:6" x14ac:dyDescent="0.35">
      <c r="A140" t="s">
        <v>221</v>
      </c>
      <c r="B140" t="s">
        <v>127</v>
      </c>
      <c r="C140" s="24">
        <v>44937</v>
      </c>
      <c r="D140" s="22">
        <v>6430</v>
      </c>
      <c r="E140" s="22" t="str">
        <f t="shared" si="2"/>
        <v>Crítico</v>
      </c>
      <c r="F140" t="e" vm="4">
        <v>#VALUE!</v>
      </c>
    </row>
    <row r="141" spans="1:6" x14ac:dyDescent="0.35">
      <c r="A141" t="s">
        <v>222</v>
      </c>
      <c r="B141" t="s">
        <v>350</v>
      </c>
      <c r="C141" s="24">
        <v>44897</v>
      </c>
      <c r="D141" s="22">
        <v>9668</v>
      </c>
      <c r="E141" s="22" t="str">
        <f t="shared" si="2"/>
        <v>Crítico</v>
      </c>
      <c r="F141" t="e" vm="2">
        <v>#VALUE!</v>
      </c>
    </row>
    <row r="142" spans="1:6" x14ac:dyDescent="0.35">
      <c r="A142" t="s">
        <v>223</v>
      </c>
      <c r="B142" t="s">
        <v>425</v>
      </c>
      <c r="C142" s="24">
        <v>44934</v>
      </c>
      <c r="D142" s="22">
        <v>19784</v>
      </c>
      <c r="E142" s="22" t="str">
        <f t="shared" si="2"/>
        <v>Aceptable</v>
      </c>
      <c r="F142" t="e" vm="2">
        <v>#VALUE!</v>
      </c>
    </row>
    <row r="143" spans="1:6" x14ac:dyDescent="0.35">
      <c r="A143" t="s">
        <v>224</v>
      </c>
      <c r="B143" t="s">
        <v>305</v>
      </c>
      <c r="C143" s="24">
        <v>44923</v>
      </c>
      <c r="D143" s="22">
        <v>12702</v>
      </c>
      <c r="E143" s="22" t="str">
        <f t="shared" si="2"/>
        <v>Aceptable</v>
      </c>
      <c r="F143" t="e" vm="2">
        <v>#VALUE!</v>
      </c>
    </row>
    <row r="144" spans="1:6" x14ac:dyDescent="0.35">
      <c r="A144" t="s">
        <v>225</v>
      </c>
      <c r="B144" t="s">
        <v>425</v>
      </c>
      <c r="C144" s="24">
        <v>44897</v>
      </c>
      <c r="D144" s="22">
        <v>18181</v>
      </c>
      <c r="E144" s="22" t="str">
        <f t="shared" si="2"/>
        <v>Aceptable</v>
      </c>
      <c r="F144" t="e" vm="6">
        <v>#VALUE!</v>
      </c>
    </row>
    <row r="145" spans="1:6" x14ac:dyDescent="0.35">
      <c r="A145" t="s">
        <v>226</v>
      </c>
      <c r="B145" t="s">
        <v>305</v>
      </c>
      <c r="C145" s="24">
        <v>44920</v>
      </c>
      <c r="D145" s="22">
        <v>6358</v>
      </c>
      <c r="E145" s="22" t="str">
        <f t="shared" si="2"/>
        <v>Crítico</v>
      </c>
      <c r="F145" t="e" vm="4">
        <v>#VALUE!</v>
      </c>
    </row>
    <row r="146" spans="1:6" x14ac:dyDescent="0.35">
      <c r="A146" t="s">
        <v>227</v>
      </c>
      <c r="B146" t="s">
        <v>305</v>
      </c>
      <c r="C146" s="24">
        <v>44894</v>
      </c>
      <c r="D146" s="22">
        <v>1435</v>
      </c>
      <c r="E146" s="22" t="str">
        <f t="shared" si="2"/>
        <v>Crítico</v>
      </c>
      <c r="F146" t="e" vm="4">
        <v>#VALUE!</v>
      </c>
    </row>
    <row r="147" spans="1:6" x14ac:dyDescent="0.35">
      <c r="A147" t="s">
        <v>228</v>
      </c>
      <c r="B147" t="s">
        <v>350</v>
      </c>
      <c r="C147" s="24">
        <v>44957</v>
      </c>
      <c r="D147" s="22">
        <v>18049</v>
      </c>
      <c r="E147" s="22" t="str">
        <f t="shared" si="2"/>
        <v>Aceptable</v>
      </c>
      <c r="F147" t="e" vm="6">
        <v>#VALUE!</v>
      </c>
    </row>
    <row r="148" spans="1:6" x14ac:dyDescent="0.35">
      <c r="A148" t="s">
        <v>229</v>
      </c>
      <c r="B148" t="s">
        <v>81</v>
      </c>
      <c r="C148" s="24">
        <v>44946</v>
      </c>
      <c r="D148" s="22">
        <v>4655</v>
      </c>
      <c r="E148" s="22" t="str">
        <f t="shared" si="2"/>
        <v>Crítico</v>
      </c>
      <c r="F148" t="e" vm="2">
        <v>#VALUE!</v>
      </c>
    </row>
    <row r="149" spans="1:6" x14ac:dyDescent="0.35">
      <c r="A149" t="s">
        <v>230</v>
      </c>
      <c r="B149" t="s">
        <v>110</v>
      </c>
      <c r="C149" s="24">
        <v>44882</v>
      </c>
      <c r="D149" s="22">
        <v>7602</v>
      </c>
      <c r="E149" s="22" t="str">
        <f t="shared" si="2"/>
        <v>Crítico</v>
      </c>
      <c r="F149" t="e" vm="2">
        <v>#VALUE!</v>
      </c>
    </row>
    <row r="150" spans="1:6" x14ac:dyDescent="0.35">
      <c r="A150" t="s">
        <v>231</v>
      </c>
      <c r="B150" t="s">
        <v>127</v>
      </c>
      <c r="C150" s="24">
        <v>44919</v>
      </c>
      <c r="D150" s="22">
        <v>9954</v>
      </c>
      <c r="E150" s="22" t="str">
        <f t="shared" si="2"/>
        <v>Crítico</v>
      </c>
      <c r="F150" t="e" vm="6">
        <v>#VALUE!</v>
      </c>
    </row>
    <row r="151" spans="1:6" x14ac:dyDescent="0.35">
      <c r="A151" t="s">
        <v>232</v>
      </c>
      <c r="B151" t="s">
        <v>110</v>
      </c>
      <c r="C151" s="24">
        <v>44915</v>
      </c>
      <c r="D151" s="22">
        <v>10603</v>
      </c>
      <c r="E151" s="22" t="str">
        <f t="shared" si="2"/>
        <v>Aceptable</v>
      </c>
      <c r="F151" t="e" vm="2">
        <v>#VALUE!</v>
      </c>
    </row>
    <row r="152" spans="1:6" x14ac:dyDescent="0.35">
      <c r="A152" t="s">
        <v>233</v>
      </c>
      <c r="B152" t="s">
        <v>81</v>
      </c>
      <c r="C152" s="24">
        <v>44911</v>
      </c>
      <c r="D152" s="22">
        <v>19285</v>
      </c>
      <c r="E152" s="22" t="str">
        <f t="shared" si="2"/>
        <v>Aceptable</v>
      </c>
      <c r="F152" t="e" vm="6">
        <v>#VALUE!</v>
      </c>
    </row>
    <row r="153" spans="1:6" x14ac:dyDescent="0.35">
      <c r="A153" t="s">
        <v>234</v>
      </c>
      <c r="B153" t="s">
        <v>81</v>
      </c>
      <c r="C153" s="24">
        <v>44910</v>
      </c>
      <c r="D153" s="22">
        <v>14076</v>
      </c>
      <c r="E153" s="22" t="str">
        <f t="shared" si="2"/>
        <v>Aceptable</v>
      </c>
      <c r="F153" t="e" vm="6">
        <v>#VALUE!</v>
      </c>
    </row>
    <row r="154" spans="1:6" x14ac:dyDescent="0.35">
      <c r="A154" t="s">
        <v>235</v>
      </c>
      <c r="B154" t="s">
        <v>425</v>
      </c>
      <c r="C154" s="24">
        <v>44942</v>
      </c>
      <c r="D154" s="22">
        <v>17706</v>
      </c>
      <c r="E154" s="22" t="str">
        <f t="shared" si="2"/>
        <v>Aceptable</v>
      </c>
      <c r="F154" t="e" vm="6">
        <v>#VALUE!</v>
      </c>
    </row>
    <row r="155" spans="1:6" x14ac:dyDescent="0.35">
      <c r="A155" t="s">
        <v>236</v>
      </c>
      <c r="B155" t="s">
        <v>350</v>
      </c>
      <c r="C155" s="24">
        <v>44944</v>
      </c>
      <c r="D155" s="22">
        <v>11536</v>
      </c>
      <c r="E155" s="22" t="str">
        <f t="shared" si="2"/>
        <v>Aceptable</v>
      </c>
      <c r="F155" t="e" vm="4">
        <v>#VALUE!</v>
      </c>
    </row>
    <row r="156" spans="1:6" x14ac:dyDescent="0.35">
      <c r="A156" t="s">
        <v>237</v>
      </c>
      <c r="B156" t="s">
        <v>305</v>
      </c>
      <c r="C156" s="24">
        <v>44934</v>
      </c>
      <c r="D156" s="22">
        <v>19065</v>
      </c>
      <c r="E156" s="22" t="str">
        <f t="shared" si="2"/>
        <v>Aceptable</v>
      </c>
      <c r="F156" t="e" vm="4">
        <v>#VALUE!</v>
      </c>
    </row>
    <row r="157" spans="1:6" x14ac:dyDescent="0.35">
      <c r="A157" t="s">
        <v>238</v>
      </c>
      <c r="B157" t="s">
        <v>425</v>
      </c>
      <c r="C157" s="24">
        <v>44884</v>
      </c>
      <c r="D157" s="22">
        <v>5380</v>
      </c>
      <c r="E157" s="22" t="str">
        <f t="shared" si="2"/>
        <v>Crítico</v>
      </c>
      <c r="F157" t="e" vm="6">
        <v>#VALUE!</v>
      </c>
    </row>
    <row r="158" spans="1:6" x14ac:dyDescent="0.35">
      <c r="A158" t="s">
        <v>239</v>
      </c>
      <c r="B158" t="s">
        <v>127</v>
      </c>
      <c r="C158" s="24">
        <v>44910</v>
      </c>
      <c r="D158" s="22">
        <v>17258</v>
      </c>
      <c r="E158" s="22" t="str">
        <f t="shared" si="2"/>
        <v>Aceptable</v>
      </c>
      <c r="F158" t="e" vm="6">
        <v>#VALUE!</v>
      </c>
    </row>
    <row r="159" spans="1:6" x14ac:dyDescent="0.35">
      <c r="A159" t="s">
        <v>240</v>
      </c>
      <c r="B159" t="s">
        <v>81</v>
      </c>
      <c r="C159" s="24">
        <v>44881</v>
      </c>
      <c r="D159" s="22">
        <v>14970</v>
      </c>
      <c r="E159" s="22" t="str">
        <f t="shared" si="2"/>
        <v>Aceptable</v>
      </c>
      <c r="F159" t="e" vm="4">
        <v>#VALUE!</v>
      </c>
    </row>
    <row r="160" spans="1:6" x14ac:dyDescent="0.35">
      <c r="A160" t="s">
        <v>241</v>
      </c>
      <c r="B160" t="s">
        <v>110</v>
      </c>
      <c r="C160" s="24">
        <v>44895</v>
      </c>
      <c r="D160" s="22">
        <v>8651</v>
      </c>
      <c r="E160" s="22" t="str">
        <f t="shared" si="2"/>
        <v>Crítico</v>
      </c>
      <c r="F160" t="e" vm="6">
        <v>#VALUE!</v>
      </c>
    </row>
    <row r="161" spans="1:6" x14ac:dyDescent="0.35">
      <c r="A161" t="s">
        <v>242</v>
      </c>
      <c r="B161" t="s">
        <v>350</v>
      </c>
      <c r="C161" s="24">
        <v>44897</v>
      </c>
      <c r="D161" s="22">
        <v>6563</v>
      </c>
      <c r="E161" s="22" t="str">
        <f t="shared" si="2"/>
        <v>Crítico</v>
      </c>
      <c r="F161" t="e" vm="6">
        <v>#VALUE!</v>
      </c>
    </row>
    <row r="162" spans="1:6" x14ac:dyDescent="0.35">
      <c r="A162" t="s">
        <v>243</v>
      </c>
      <c r="B162" t="s">
        <v>350</v>
      </c>
      <c r="C162" s="24">
        <v>44918</v>
      </c>
      <c r="D162" s="22">
        <v>16901</v>
      </c>
      <c r="E162" s="22" t="str">
        <f t="shared" si="2"/>
        <v>Aceptable</v>
      </c>
      <c r="F162" t="e" vm="6">
        <v>#VALUE!</v>
      </c>
    </row>
    <row r="163" spans="1:6" x14ac:dyDescent="0.35">
      <c r="A163" t="s">
        <v>244</v>
      </c>
      <c r="B163" t="s">
        <v>361</v>
      </c>
      <c r="C163" s="24">
        <v>44894</v>
      </c>
      <c r="D163" s="22">
        <v>6140</v>
      </c>
      <c r="E163" s="22" t="str">
        <f t="shared" si="2"/>
        <v>Crítico</v>
      </c>
      <c r="F163" t="e" vm="6">
        <v>#VALUE!</v>
      </c>
    </row>
    <row r="164" spans="1:6" x14ac:dyDescent="0.35">
      <c r="A164" t="s">
        <v>245</v>
      </c>
      <c r="B164" t="s">
        <v>81</v>
      </c>
      <c r="C164" s="24">
        <v>44951</v>
      </c>
      <c r="D164" s="22">
        <v>1669</v>
      </c>
      <c r="E164" s="22" t="str">
        <f t="shared" si="2"/>
        <v>Crítico</v>
      </c>
      <c r="F164" t="e" vm="2">
        <v>#VALUE!</v>
      </c>
    </row>
    <row r="165" spans="1:6" x14ac:dyDescent="0.35">
      <c r="A165" t="s">
        <v>246</v>
      </c>
      <c r="B165" t="s">
        <v>350</v>
      </c>
      <c r="C165" s="24">
        <v>44909</v>
      </c>
      <c r="D165" s="22">
        <v>11694</v>
      </c>
      <c r="E165" s="22" t="str">
        <f t="shared" si="2"/>
        <v>Aceptable</v>
      </c>
      <c r="F165" t="e" vm="4">
        <v>#VALUE!</v>
      </c>
    </row>
    <row r="166" spans="1:6" x14ac:dyDescent="0.35">
      <c r="A166" t="s">
        <v>247</v>
      </c>
      <c r="B166" t="s">
        <v>81</v>
      </c>
      <c r="C166" s="24">
        <v>44944</v>
      </c>
      <c r="D166" s="22">
        <v>5857</v>
      </c>
      <c r="E166" s="22" t="str">
        <f t="shared" si="2"/>
        <v>Crítico</v>
      </c>
      <c r="F166" t="e" vm="6">
        <v>#VALUE!</v>
      </c>
    </row>
    <row r="167" spans="1:6" x14ac:dyDescent="0.35">
      <c r="A167" t="s">
        <v>248</v>
      </c>
      <c r="B167" t="s">
        <v>361</v>
      </c>
      <c r="C167" s="24">
        <v>44891</v>
      </c>
      <c r="D167" s="22">
        <v>10819</v>
      </c>
      <c r="E167" s="22" t="str">
        <f t="shared" si="2"/>
        <v>Aceptable</v>
      </c>
      <c r="F167" t="e" vm="2">
        <v>#VALUE!</v>
      </c>
    </row>
    <row r="168" spans="1:6" x14ac:dyDescent="0.35">
      <c r="A168" t="s">
        <v>249</v>
      </c>
      <c r="B168" t="s">
        <v>361</v>
      </c>
      <c r="C168" s="24">
        <v>44934</v>
      </c>
      <c r="D168" s="22">
        <v>4208</v>
      </c>
      <c r="E168" s="22" t="str">
        <f t="shared" si="2"/>
        <v>Crítico</v>
      </c>
      <c r="F168" t="e" vm="4">
        <v>#VALUE!</v>
      </c>
    </row>
    <row r="169" spans="1:6" x14ac:dyDescent="0.35">
      <c r="A169" t="s">
        <v>250</v>
      </c>
      <c r="B169" t="s">
        <v>425</v>
      </c>
      <c r="C169" s="24">
        <v>44950</v>
      </c>
      <c r="D169" s="22">
        <v>12242</v>
      </c>
      <c r="E169" s="22" t="str">
        <f t="shared" si="2"/>
        <v>Aceptable</v>
      </c>
      <c r="F169" t="e" vm="6">
        <v>#VALUE!</v>
      </c>
    </row>
    <row r="170" spans="1:6" x14ac:dyDescent="0.35">
      <c r="A170" t="s">
        <v>251</v>
      </c>
      <c r="B170" t="s">
        <v>350</v>
      </c>
      <c r="C170" s="24">
        <v>44931</v>
      </c>
      <c r="D170" s="22">
        <v>13345</v>
      </c>
      <c r="E170" s="22" t="str">
        <f t="shared" si="2"/>
        <v>Aceptable</v>
      </c>
      <c r="F170" t="e" vm="6">
        <v>#VALUE!</v>
      </c>
    </row>
    <row r="171" spans="1:6" x14ac:dyDescent="0.35">
      <c r="A171" t="s">
        <v>252</v>
      </c>
      <c r="B171" t="s">
        <v>350</v>
      </c>
      <c r="C171" s="24">
        <v>44892</v>
      </c>
      <c r="D171" s="22">
        <v>4947</v>
      </c>
      <c r="E171" s="22" t="str">
        <f t="shared" si="2"/>
        <v>Crítico</v>
      </c>
      <c r="F171" t="e" vm="2">
        <v>#VALUE!</v>
      </c>
    </row>
    <row r="172" spans="1:6" x14ac:dyDescent="0.35">
      <c r="A172" t="s">
        <v>253</v>
      </c>
      <c r="B172" t="s">
        <v>425</v>
      </c>
      <c r="C172" s="24">
        <v>44877</v>
      </c>
      <c r="D172" s="22">
        <v>3513</v>
      </c>
      <c r="E172" s="22" t="str">
        <f t="shared" si="2"/>
        <v>Crítico</v>
      </c>
      <c r="F172" t="e" vm="6">
        <v>#VALUE!</v>
      </c>
    </row>
    <row r="173" spans="1:6" x14ac:dyDescent="0.35">
      <c r="A173" t="s">
        <v>254</v>
      </c>
      <c r="B173" t="s">
        <v>127</v>
      </c>
      <c r="C173" s="24">
        <v>44928</v>
      </c>
      <c r="D173" s="22">
        <v>9465</v>
      </c>
      <c r="E173" s="22" t="str">
        <f t="shared" si="2"/>
        <v>Crítico</v>
      </c>
      <c r="F173" t="e" vm="2">
        <v>#VALUE!</v>
      </c>
    </row>
    <row r="174" spans="1:6" x14ac:dyDescent="0.35">
      <c r="A174" t="s">
        <v>255</v>
      </c>
      <c r="B174" t="s">
        <v>305</v>
      </c>
      <c r="C174" s="24">
        <v>44948</v>
      </c>
      <c r="D174" s="22">
        <v>7804</v>
      </c>
      <c r="E174" s="22" t="str">
        <f t="shared" si="2"/>
        <v>Crítico</v>
      </c>
      <c r="F174" t="e" vm="2">
        <v>#VALUE!</v>
      </c>
    </row>
    <row r="175" spans="1:6" x14ac:dyDescent="0.35">
      <c r="A175" t="s">
        <v>256</v>
      </c>
      <c r="B175" t="s">
        <v>361</v>
      </c>
      <c r="C175" s="24">
        <v>44947</v>
      </c>
      <c r="D175" s="22">
        <v>10256</v>
      </c>
      <c r="E175" s="22" t="str">
        <f t="shared" si="2"/>
        <v>Aceptable</v>
      </c>
      <c r="F175" t="e" vm="4">
        <v>#VALUE!</v>
      </c>
    </row>
    <row r="176" spans="1:6" x14ac:dyDescent="0.35">
      <c r="A176" t="s">
        <v>257</v>
      </c>
      <c r="B176" t="s">
        <v>425</v>
      </c>
      <c r="C176" s="24">
        <v>44952</v>
      </c>
      <c r="D176" s="22">
        <v>5220</v>
      </c>
      <c r="E176" s="22" t="str">
        <f t="shared" si="2"/>
        <v>Crítico</v>
      </c>
      <c r="F176" t="e" vm="6">
        <v>#VALUE!</v>
      </c>
    </row>
    <row r="177" spans="1:6" x14ac:dyDescent="0.35">
      <c r="A177" t="s">
        <v>258</v>
      </c>
      <c r="B177" t="s">
        <v>361</v>
      </c>
      <c r="C177" s="24">
        <v>44897</v>
      </c>
      <c r="D177" s="22">
        <v>2916</v>
      </c>
      <c r="E177" s="22" t="str">
        <f t="shared" si="2"/>
        <v>Crítico</v>
      </c>
      <c r="F177" t="e" vm="2">
        <v>#VALUE!</v>
      </c>
    </row>
    <row r="178" spans="1:6" x14ac:dyDescent="0.35">
      <c r="A178" t="s">
        <v>259</v>
      </c>
      <c r="B178" t="s">
        <v>81</v>
      </c>
      <c r="C178" s="24">
        <v>44956</v>
      </c>
      <c r="D178" s="22">
        <v>17349</v>
      </c>
      <c r="E178" s="22" t="str">
        <f t="shared" si="2"/>
        <v>Aceptable</v>
      </c>
      <c r="F178" t="e" vm="2">
        <v>#VALUE!</v>
      </c>
    </row>
    <row r="179" spans="1:6" x14ac:dyDescent="0.35">
      <c r="A179" t="s">
        <v>260</v>
      </c>
      <c r="B179" t="s">
        <v>350</v>
      </c>
      <c r="C179" s="24">
        <v>44868</v>
      </c>
      <c r="D179" s="22">
        <v>12904</v>
      </c>
      <c r="E179" s="22" t="str">
        <f t="shared" si="2"/>
        <v>Aceptable</v>
      </c>
      <c r="F179" t="e" vm="4">
        <v>#VALUE!</v>
      </c>
    </row>
    <row r="180" spans="1:6" x14ac:dyDescent="0.35">
      <c r="A180" t="s">
        <v>261</v>
      </c>
      <c r="B180" t="s">
        <v>350</v>
      </c>
      <c r="C180" s="24">
        <v>44895</v>
      </c>
      <c r="D180" s="22">
        <v>2842</v>
      </c>
      <c r="E180" s="22" t="str">
        <f t="shared" si="2"/>
        <v>Crítico</v>
      </c>
      <c r="F180" t="e" vm="4">
        <v>#VALUE!</v>
      </c>
    </row>
    <row r="181" spans="1:6" x14ac:dyDescent="0.35">
      <c r="A181" t="s">
        <v>262</v>
      </c>
      <c r="B181" t="s">
        <v>350</v>
      </c>
      <c r="C181" s="24">
        <v>44901</v>
      </c>
      <c r="D181" s="22">
        <v>4549</v>
      </c>
      <c r="E181" s="22" t="str">
        <f t="shared" si="2"/>
        <v>Crítico</v>
      </c>
      <c r="F181" t="e" vm="4">
        <v>#VALUE!</v>
      </c>
    </row>
    <row r="182" spans="1:6" x14ac:dyDescent="0.35">
      <c r="A182" t="s">
        <v>263</v>
      </c>
      <c r="B182" t="s">
        <v>305</v>
      </c>
      <c r="C182" s="24">
        <v>44877</v>
      </c>
      <c r="D182" s="22">
        <v>3890</v>
      </c>
      <c r="E182" s="22" t="str">
        <f t="shared" si="2"/>
        <v>Crítico</v>
      </c>
      <c r="F182" t="e" vm="2">
        <v>#VALUE!</v>
      </c>
    </row>
    <row r="183" spans="1:6" x14ac:dyDescent="0.35">
      <c r="A183" t="s">
        <v>264</v>
      </c>
      <c r="B183" t="s">
        <v>110</v>
      </c>
      <c r="C183" s="24">
        <v>44893</v>
      </c>
      <c r="D183" s="22">
        <v>16896</v>
      </c>
      <c r="E183" s="22" t="str">
        <f t="shared" si="2"/>
        <v>Aceptable</v>
      </c>
      <c r="F183" t="e" vm="4">
        <v>#VALUE!</v>
      </c>
    </row>
    <row r="184" spans="1:6" x14ac:dyDescent="0.35">
      <c r="A184" t="s">
        <v>265</v>
      </c>
      <c r="B184" t="s">
        <v>425</v>
      </c>
      <c r="C184" s="24">
        <v>44913</v>
      </c>
      <c r="D184" s="22">
        <v>3060</v>
      </c>
      <c r="E184" s="22" t="str">
        <f t="shared" si="2"/>
        <v>Crítico</v>
      </c>
      <c r="F184" t="e" vm="2">
        <v>#VALUE!</v>
      </c>
    </row>
    <row r="185" spans="1:6" x14ac:dyDescent="0.35">
      <c r="A185" t="s">
        <v>266</v>
      </c>
      <c r="B185" t="s">
        <v>110</v>
      </c>
      <c r="C185" s="24">
        <v>44874</v>
      </c>
      <c r="D185" s="22">
        <v>17040</v>
      </c>
      <c r="E185" s="22" t="str">
        <f t="shared" si="2"/>
        <v>Aceptable</v>
      </c>
      <c r="F185" t="e" vm="2">
        <v>#VALUE!</v>
      </c>
    </row>
    <row r="186" spans="1:6" x14ac:dyDescent="0.35">
      <c r="A186" t="s">
        <v>267</v>
      </c>
      <c r="B186" t="s">
        <v>361</v>
      </c>
      <c r="C186" s="24">
        <v>44926</v>
      </c>
      <c r="D186" s="22">
        <v>12374</v>
      </c>
      <c r="E186" s="22" t="str">
        <f t="shared" si="2"/>
        <v>Aceptable</v>
      </c>
      <c r="F186" t="e" vm="6">
        <v>#VALUE!</v>
      </c>
    </row>
    <row r="187" spans="1:6" x14ac:dyDescent="0.35">
      <c r="A187" t="s">
        <v>268</v>
      </c>
      <c r="B187" t="s">
        <v>350</v>
      </c>
      <c r="C187" s="24">
        <v>44906</v>
      </c>
      <c r="D187" s="22">
        <v>13284</v>
      </c>
      <c r="E187" s="22" t="str">
        <f t="shared" si="2"/>
        <v>Aceptable</v>
      </c>
      <c r="F187" t="e" vm="6">
        <v>#VALUE!</v>
      </c>
    </row>
    <row r="188" spans="1:6" x14ac:dyDescent="0.35">
      <c r="A188" t="s">
        <v>269</v>
      </c>
      <c r="B188" t="s">
        <v>350</v>
      </c>
      <c r="C188" s="24">
        <v>44875</v>
      </c>
      <c r="D188" s="22">
        <v>10837</v>
      </c>
      <c r="E188" s="22" t="str">
        <f t="shared" si="2"/>
        <v>Aceptable</v>
      </c>
      <c r="F188" t="e" vm="2">
        <v>#VALUE!</v>
      </c>
    </row>
    <row r="189" spans="1:6" x14ac:dyDescent="0.35">
      <c r="A189" t="s">
        <v>270</v>
      </c>
      <c r="B189" t="s">
        <v>425</v>
      </c>
      <c r="C189" s="24">
        <v>44938</v>
      </c>
      <c r="D189" s="22">
        <v>9772</v>
      </c>
      <c r="E189" s="22" t="str">
        <f t="shared" si="2"/>
        <v>Crítico</v>
      </c>
      <c r="F189" t="e" vm="2">
        <v>#VALUE!</v>
      </c>
    </row>
    <row r="190" spans="1:6" x14ac:dyDescent="0.35">
      <c r="A190" t="s">
        <v>271</v>
      </c>
      <c r="B190" t="s">
        <v>110</v>
      </c>
      <c r="C190" s="24">
        <v>44890</v>
      </c>
      <c r="D190" s="22">
        <v>18468</v>
      </c>
      <c r="E190" s="22" t="str">
        <f t="shared" si="2"/>
        <v>Aceptable</v>
      </c>
      <c r="F190" t="e" vm="6">
        <v>#VALUE!</v>
      </c>
    </row>
    <row r="191" spans="1:6" x14ac:dyDescent="0.35">
      <c r="A191" t="s">
        <v>272</v>
      </c>
      <c r="B191" t="s">
        <v>361</v>
      </c>
      <c r="C191" s="24">
        <v>44876</v>
      </c>
      <c r="D191" s="22">
        <v>15295</v>
      </c>
      <c r="E191" s="22" t="str">
        <f t="shared" si="2"/>
        <v>Aceptable</v>
      </c>
      <c r="F191" t="e" vm="2">
        <v>#VALUE!</v>
      </c>
    </row>
    <row r="192" spans="1:6" x14ac:dyDescent="0.35">
      <c r="A192" t="s">
        <v>273</v>
      </c>
      <c r="B192" t="s">
        <v>305</v>
      </c>
      <c r="C192" s="24">
        <v>44874</v>
      </c>
      <c r="D192" s="22">
        <v>12456</v>
      </c>
      <c r="E192" s="22" t="str">
        <f t="shared" si="2"/>
        <v>Aceptable</v>
      </c>
      <c r="F192" t="e" vm="4">
        <v>#VALUE!</v>
      </c>
    </row>
    <row r="193" spans="1:6" x14ac:dyDescent="0.35">
      <c r="A193" t="s">
        <v>274</v>
      </c>
      <c r="B193" t="s">
        <v>81</v>
      </c>
      <c r="C193" s="24">
        <v>44907</v>
      </c>
      <c r="D193" s="22">
        <v>16568</v>
      </c>
      <c r="E193" s="22" t="str">
        <f t="shared" si="2"/>
        <v>Aceptable</v>
      </c>
      <c r="F193" t="e" vm="6">
        <v>#VALUE!</v>
      </c>
    </row>
    <row r="194" spans="1:6" x14ac:dyDescent="0.35">
      <c r="A194" t="s">
        <v>275</v>
      </c>
      <c r="B194" t="s">
        <v>81</v>
      </c>
      <c r="C194" s="24">
        <v>44935</v>
      </c>
      <c r="D194" s="22">
        <v>8590</v>
      </c>
      <c r="E194" s="22" t="str">
        <f t="shared" si="2"/>
        <v>Crítico</v>
      </c>
      <c r="F194" t="e" vm="2">
        <v>#VALUE!</v>
      </c>
    </row>
    <row r="195" spans="1:6" x14ac:dyDescent="0.35">
      <c r="A195" t="s">
        <v>276</v>
      </c>
      <c r="B195" t="s">
        <v>305</v>
      </c>
      <c r="C195" s="24">
        <v>44938</v>
      </c>
      <c r="D195" s="22">
        <v>8065</v>
      </c>
      <c r="E195" s="22" t="str">
        <f t="shared" ref="E195:E258" si="3">IF(D195&lt;$K$3,$I$3,$I$4)</f>
        <v>Crítico</v>
      </c>
      <c r="F195" t="e" vm="2">
        <v>#VALUE!</v>
      </c>
    </row>
    <row r="196" spans="1:6" x14ac:dyDescent="0.35">
      <c r="A196" t="s">
        <v>277</v>
      </c>
      <c r="B196" t="s">
        <v>81</v>
      </c>
      <c r="C196" s="24">
        <v>44953</v>
      </c>
      <c r="D196" s="22">
        <v>14003</v>
      </c>
      <c r="E196" s="22" t="str">
        <f t="shared" si="3"/>
        <v>Aceptable</v>
      </c>
      <c r="F196" t="e" vm="4">
        <v>#VALUE!</v>
      </c>
    </row>
    <row r="197" spans="1:6" x14ac:dyDescent="0.35">
      <c r="A197" t="s">
        <v>278</v>
      </c>
      <c r="B197" t="s">
        <v>305</v>
      </c>
      <c r="C197" s="24">
        <v>44921</v>
      </c>
      <c r="D197" s="22">
        <v>4415</v>
      </c>
      <c r="E197" s="22" t="str">
        <f t="shared" si="3"/>
        <v>Crítico</v>
      </c>
      <c r="F197" t="e" vm="6">
        <v>#VALUE!</v>
      </c>
    </row>
    <row r="198" spans="1:6" x14ac:dyDescent="0.35">
      <c r="A198" t="s">
        <v>279</v>
      </c>
      <c r="B198" t="s">
        <v>110</v>
      </c>
      <c r="C198" s="24">
        <v>44929</v>
      </c>
      <c r="D198" s="22">
        <v>9724</v>
      </c>
      <c r="E198" s="22" t="str">
        <f t="shared" si="3"/>
        <v>Crítico</v>
      </c>
      <c r="F198" t="e" vm="4">
        <v>#VALUE!</v>
      </c>
    </row>
    <row r="199" spans="1:6" x14ac:dyDescent="0.35">
      <c r="A199" t="s">
        <v>280</v>
      </c>
      <c r="B199" t="s">
        <v>127</v>
      </c>
      <c r="C199" s="24">
        <v>44925</v>
      </c>
      <c r="D199" s="22">
        <v>1683</v>
      </c>
      <c r="E199" s="22" t="str">
        <f t="shared" si="3"/>
        <v>Crítico</v>
      </c>
      <c r="F199" t="e" vm="2">
        <v>#VALUE!</v>
      </c>
    </row>
    <row r="200" spans="1:6" x14ac:dyDescent="0.35">
      <c r="A200" t="s">
        <v>281</v>
      </c>
      <c r="B200" t="s">
        <v>305</v>
      </c>
      <c r="C200" s="24">
        <v>44891</v>
      </c>
      <c r="D200" s="22">
        <v>14094</v>
      </c>
      <c r="E200" s="22" t="str">
        <f t="shared" si="3"/>
        <v>Aceptable</v>
      </c>
      <c r="F200" t="e" vm="6">
        <v>#VALUE!</v>
      </c>
    </row>
    <row r="201" spans="1:6" x14ac:dyDescent="0.35">
      <c r="A201" t="s">
        <v>282</v>
      </c>
      <c r="B201" t="s">
        <v>81</v>
      </c>
      <c r="C201" s="24">
        <v>44929</v>
      </c>
      <c r="D201" s="22">
        <v>10199</v>
      </c>
      <c r="E201" s="22" t="str">
        <f t="shared" si="3"/>
        <v>Aceptable</v>
      </c>
      <c r="F201" t="e" vm="6">
        <v>#VALUE!</v>
      </c>
    </row>
    <row r="202" spans="1:6" x14ac:dyDescent="0.35">
      <c r="A202" t="s">
        <v>283</v>
      </c>
      <c r="B202" t="s">
        <v>361</v>
      </c>
      <c r="C202" s="24">
        <v>44889</v>
      </c>
      <c r="D202" s="22">
        <v>9358</v>
      </c>
      <c r="E202" s="22" t="str">
        <f t="shared" si="3"/>
        <v>Crítico</v>
      </c>
      <c r="F202" t="e" vm="4">
        <v>#VALUE!</v>
      </c>
    </row>
    <row r="203" spans="1:6" x14ac:dyDescent="0.35">
      <c r="A203" t="s">
        <v>284</v>
      </c>
      <c r="B203" t="s">
        <v>361</v>
      </c>
      <c r="C203" s="24">
        <v>44924</v>
      </c>
      <c r="D203" s="22">
        <v>17161</v>
      </c>
      <c r="E203" s="22" t="str">
        <f t="shared" si="3"/>
        <v>Aceptable</v>
      </c>
      <c r="F203" t="e" vm="2">
        <v>#VALUE!</v>
      </c>
    </row>
    <row r="204" spans="1:6" x14ac:dyDescent="0.35">
      <c r="A204" t="s">
        <v>285</v>
      </c>
      <c r="B204" t="s">
        <v>425</v>
      </c>
      <c r="C204" s="24">
        <v>44947</v>
      </c>
      <c r="D204" s="22">
        <v>6766</v>
      </c>
      <c r="E204" s="22" t="str">
        <f t="shared" si="3"/>
        <v>Crítico</v>
      </c>
      <c r="F204" t="e" vm="4">
        <v>#VALUE!</v>
      </c>
    </row>
    <row r="205" spans="1:6" x14ac:dyDescent="0.35">
      <c r="A205" t="s">
        <v>286</v>
      </c>
      <c r="B205" t="s">
        <v>127</v>
      </c>
      <c r="C205" s="24">
        <v>44901</v>
      </c>
      <c r="D205" s="22">
        <v>7675</v>
      </c>
      <c r="E205" s="22" t="str">
        <f t="shared" si="3"/>
        <v>Crítico</v>
      </c>
      <c r="F205" t="e" vm="4">
        <v>#VALUE!</v>
      </c>
    </row>
    <row r="206" spans="1:6" x14ac:dyDescent="0.35">
      <c r="A206" t="s">
        <v>287</v>
      </c>
      <c r="B206" t="s">
        <v>350</v>
      </c>
      <c r="C206" s="24">
        <v>44902</v>
      </c>
      <c r="D206" s="22">
        <v>3683</v>
      </c>
      <c r="E206" s="22" t="str">
        <f t="shared" si="3"/>
        <v>Crítico</v>
      </c>
      <c r="F206" t="e" vm="6">
        <v>#VALUE!</v>
      </c>
    </row>
    <row r="207" spans="1:6" x14ac:dyDescent="0.35">
      <c r="A207" t="s">
        <v>288</v>
      </c>
      <c r="B207" t="s">
        <v>350</v>
      </c>
      <c r="C207" s="24">
        <v>44948</v>
      </c>
      <c r="D207" s="22">
        <v>11360</v>
      </c>
      <c r="E207" s="22" t="str">
        <f t="shared" si="3"/>
        <v>Aceptable</v>
      </c>
      <c r="F207" t="e" vm="4">
        <v>#VALUE!</v>
      </c>
    </row>
    <row r="208" spans="1:6" x14ac:dyDescent="0.35">
      <c r="A208" t="s">
        <v>289</v>
      </c>
      <c r="B208" t="s">
        <v>425</v>
      </c>
      <c r="C208" s="24">
        <v>44902</v>
      </c>
      <c r="D208" s="22">
        <v>9882</v>
      </c>
      <c r="E208" s="22" t="str">
        <f t="shared" si="3"/>
        <v>Crítico</v>
      </c>
      <c r="F208" t="e" vm="6">
        <v>#VALUE!</v>
      </c>
    </row>
    <row r="209" spans="1:6" x14ac:dyDescent="0.35">
      <c r="A209" t="s">
        <v>290</v>
      </c>
      <c r="B209" t="s">
        <v>81</v>
      </c>
      <c r="C209" s="24">
        <v>44870</v>
      </c>
      <c r="D209" s="22">
        <v>2607</v>
      </c>
      <c r="E209" s="22" t="str">
        <f t="shared" si="3"/>
        <v>Crítico</v>
      </c>
      <c r="F209" t="e" vm="4">
        <v>#VALUE!</v>
      </c>
    </row>
    <row r="210" spans="1:6" x14ac:dyDescent="0.35">
      <c r="A210" t="s">
        <v>291</v>
      </c>
      <c r="B210" t="s">
        <v>305</v>
      </c>
      <c r="C210" s="24">
        <v>44931</v>
      </c>
      <c r="D210" s="22">
        <v>12736</v>
      </c>
      <c r="E210" s="22" t="str">
        <f t="shared" si="3"/>
        <v>Aceptable</v>
      </c>
      <c r="F210" t="e" vm="6">
        <v>#VALUE!</v>
      </c>
    </row>
    <row r="211" spans="1:6" x14ac:dyDescent="0.35">
      <c r="A211" t="s">
        <v>292</v>
      </c>
      <c r="B211" t="s">
        <v>81</v>
      </c>
      <c r="C211" s="24">
        <v>44913</v>
      </c>
      <c r="D211" s="22">
        <v>16087</v>
      </c>
      <c r="E211" s="22" t="str">
        <f t="shared" si="3"/>
        <v>Aceptable</v>
      </c>
      <c r="F211" t="e" vm="4">
        <v>#VALUE!</v>
      </c>
    </row>
    <row r="212" spans="1:6" x14ac:dyDescent="0.35">
      <c r="A212" t="s">
        <v>293</v>
      </c>
      <c r="B212" t="s">
        <v>425</v>
      </c>
      <c r="C212" s="24">
        <v>44927</v>
      </c>
      <c r="D212" s="22">
        <v>10964</v>
      </c>
      <c r="E212" s="22" t="str">
        <f t="shared" si="3"/>
        <v>Aceptable</v>
      </c>
      <c r="F212" t="e" vm="4">
        <v>#VALUE!</v>
      </c>
    </row>
    <row r="213" spans="1:6" x14ac:dyDescent="0.35">
      <c r="A213" t="s">
        <v>294</v>
      </c>
      <c r="B213" t="s">
        <v>110</v>
      </c>
      <c r="C213" s="24">
        <v>44895</v>
      </c>
      <c r="D213" s="22">
        <v>19950</v>
      </c>
      <c r="E213" s="22" t="str">
        <f t="shared" si="3"/>
        <v>Aceptable</v>
      </c>
      <c r="F213" t="e" vm="6">
        <v>#VALUE!</v>
      </c>
    </row>
    <row r="214" spans="1:6" x14ac:dyDescent="0.35">
      <c r="A214" t="s">
        <v>295</v>
      </c>
      <c r="B214" t="s">
        <v>81</v>
      </c>
      <c r="C214" s="24">
        <v>44878</v>
      </c>
      <c r="D214" s="22">
        <v>14958</v>
      </c>
      <c r="E214" s="22" t="str">
        <f t="shared" si="3"/>
        <v>Aceptable</v>
      </c>
      <c r="F214" t="e" vm="6">
        <v>#VALUE!</v>
      </c>
    </row>
    <row r="215" spans="1:6" x14ac:dyDescent="0.35">
      <c r="A215" t="s">
        <v>296</v>
      </c>
      <c r="B215" t="s">
        <v>361</v>
      </c>
      <c r="C215" s="24">
        <v>44899</v>
      </c>
      <c r="D215" s="22">
        <v>7770</v>
      </c>
      <c r="E215" s="22" t="str">
        <f t="shared" si="3"/>
        <v>Crítico</v>
      </c>
      <c r="F215" t="e" vm="6">
        <v>#VALUE!</v>
      </c>
    </row>
    <row r="216" spans="1:6" x14ac:dyDescent="0.35">
      <c r="A216" t="s">
        <v>297</v>
      </c>
      <c r="B216" t="s">
        <v>350</v>
      </c>
      <c r="C216" s="24">
        <v>44936</v>
      </c>
      <c r="D216" s="22">
        <v>16535</v>
      </c>
      <c r="E216" s="22" t="str">
        <f t="shared" si="3"/>
        <v>Aceptable</v>
      </c>
      <c r="F216" t="e" vm="4">
        <v>#VALUE!</v>
      </c>
    </row>
    <row r="217" spans="1:6" x14ac:dyDescent="0.35">
      <c r="A217" t="s">
        <v>298</v>
      </c>
      <c r="B217" t="s">
        <v>110</v>
      </c>
      <c r="C217" s="24">
        <v>44899</v>
      </c>
      <c r="D217" s="22">
        <v>9844</v>
      </c>
      <c r="E217" s="22" t="str">
        <f t="shared" si="3"/>
        <v>Crítico</v>
      </c>
      <c r="F217" t="e" vm="6">
        <v>#VALUE!</v>
      </c>
    </row>
    <row r="218" spans="1:6" x14ac:dyDescent="0.35">
      <c r="A218" t="s">
        <v>299</v>
      </c>
      <c r="B218" t="s">
        <v>305</v>
      </c>
      <c r="C218" s="24">
        <v>44935</v>
      </c>
      <c r="D218" s="22">
        <v>16796</v>
      </c>
      <c r="E218" s="22" t="str">
        <f t="shared" si="3"/>
        <v>Aceptable</v>
      </c>
      <c r="F218" t="e" vm="6">
        <v>#VALUE!</v>
      </c>
    </row>
    <row r="219" spans="1:6" x14ac:dyDescent="0.35">
      <c r="A219" t="s">
        <v>300</v>
      </c>
      <c r="B219" t="s">
        <v>350</v>
      </c>
      <c r="C219" s="24">
        <v>44927</v>
      </c>
      <c r="D219" s="22">
        <v>15453</v>
      </c>
      <c r="E219" s="22" t="str">
        <f t="shared" si="3"/>
        <v>Aceptable</v>
      </c>
      <c r="F219" t="e" vm="6">
        <v>#VALUE!</v>
      </c>
    </row>
    <row r="220" spans="1:6" x14ac:dyDescent="0.35">
      <c r="A220" t="s">
        <v>301</v>
      </c>
      <c r="B220" t="s">
        <v>350</v>
      </c>
      <c r="C220" s="24">
        <v>44882</v>
      </c>
      <c r="D220" s="22">
        <v>17402</v>
      </c>
      <c r="E220" s="22" t="str">
        <f t="shared" si="3"/>
        <v>Aceptable</v>
      </c>
      <c r="F220" t="e" vm="4">
        <v>#VALUE!</v>
      </c>
    </row>
    <row r="221" spans="1:6" x14ac:dyDescent="0.35">
      <c r="A221" t="s">
        <v>302</v>
      </c>
      <c r="B221" t="s">
        <v>425</v>
      </c>
      <c r="C221" s="24">
        <v>44888</v>
      </c>
      <c r="D221" s="22">
        <v>7306</v>
      </c>
      <c r="E221" s="22" t="str">
        <f t="shared" si="3"/>
        <v>Crítico</v>
      </c>
      <c r="F221" t="e" vm="6">
        <v>#VALUE!</v>
      </c>
    </row>
    <row r="222" spans="1:6" x14ac:dyDescent="0.35">
      <c r="A222" t="s">
        <v>303</v>
      </c>
      <c r="B222" t="s">
        <v>81</v>
      </c>
      <c r="C222" s="24">
        <v>44901</v>
      </c>
      <c r="D222" s="22">
        <v>7224</v>
      </c>
      <c r="E222" s="22" t="str">
        <f t="shared" si="3"/>
        <v>Crítico</v>
      </c>
      <c r="F222" t="e" vm="4">
        <v>#VALUE!</v>
      </c>
    </row>
    <row r="223" spans="1:6" x14ac:dyDescent="0.35">
      <c r="A223" t="s">
        <v>304</v>
      </c>
      <c r="B223" t="s">
        <v>127</v>
      </c>
      <c r="C223" s="24">
        <v>44954</v>
      </c>
      <c r="D223" s="22">
        <v>10978</v>
      </c>
      <c r="E223" s="22" t="str">
        <f t="shared" si="3"/>
        <v>Aceptable</v>
      </c>
      <c r="F223" t="e" vm="2">
        <v>#VALUE!</v>
      </c>
    </row>
    <row r="224" spans="1:6" x14ac:dyDescent="0.35">
      <c r="A224" t="s">
        <v>306</v>
      </c>
      <c r="B224" t="s">
        <v>350</v>
      </c>
      <c r="C224" s="24">
        <v>44870</v>
      </c>
      <c r="D224" s="22">
        <v>7277</v>
      </c>
      <c r="E224" s="22" t="str">
        <f t="shared" si="3"/>
        <v>Crítico</v>
      </c>
      <c r="F224" t="e" vm="6">
        <v>#VALUE!</v>
      </c>
    </row>
    <row r="225" spans="1:6" x14ac:dyDescent="0.35">
      <c r="A225" t="s">
        <v>307</v>
      </c>
      <c r="B225" t="s">
        <v>305</v>
      </c>
      <c r="C225" s="24">
        <v>44909</v>
      </c>
      <c r="D225" s="22">
        <v>10150</v>
      </c>
      <c r="E225" s="22" t="str">
        <f t="shared" si="3"/>
        <v>Aceptable</v>
      </c>
      <c r="F225" t="e" vm="2">
        <v>#VALUE!</v>
      </c>
    </row>
    <row r="226" spans="1:6" x14ac:dyDescent="0.35">
      <c r="A226" t="s">
        <v>308</v>
      </c>
      <c r="B226" t="s">
        <v>81</v>
      </c>
      <c r="C226" s="24">
        <v>44889</v>
      </c>
      <c r="D226" s="22">
        <v>6534</v>
      </c>
      <c r="E226" s="22" t="str">
        <f t="shared" si="3"/>
        <v>Crítico</v>
      </c>
      <c r="F226" t="e" vm="4">
        <v>#VALUE!</v>
      </c>
    </row>
    <row r="227" spans="1:6" x14ac:dyDescent="0.35">
      <c r="A227" t="s">
        <v>309</v>
      </c>
      <c r="B227" t="s">
        <v>425</v>
      </c>
      <c r="C227" s="24">
        <v>44887</v>
      </c>
      <c r="D227" s="22">
        <v>3167</v>
      </c>
      <c r="E227" s="22" t="str">
        <f t="shared" si="3"/>
        <v>Crítico</v>
      </c>
      <c r="F227" t="e" vm="6">
        <v>#VALUE!</v>
      </c>
    </row>
    <row r="228" spans="1:6" x14ac:dyDescent="0.35">
      <c r="A228" t="s">
        <v>310</v>
      </c>
      <c r="B228" t="s">
        <v>110</v>
      </c>
      <c r="C228" s="24">
        <v>44939</v>
      </c>
      <c r="D228" s="22">
        <v>5089</v>
      </c>
      <c r="E228" s="22" t="str">
        <f t="shared" si="3"/>
        <v>Crítico</v>
      </c>
      <c r="F228" t="e" vm="2">
        <v>#VALUE!</v>
      </c>
    </row>
    <row r="229" spans="1:6" x14ac:dyDescent="0.35">
      <c r="A229" t="s">
        <v>311</v>
      </c>
      <c r="B229" t="s">
        <v>361</v>
      </c>
      <c r="C229" s="24">
        <v>44897</v>
      </c>
      <c r="D229" s="22">
        <v>14449</v>
      </c>
      <c r="E229" s="22" t="str">
        <f t="shared" si="3"/>
        <v>Aceptable</v>
      </c>
      <c r="F229" t="e" vm="6">
        <v>#VALUE!</v>
      </c>
    </row>
    <row r="230" spans="1:6" x14ac:dyDescent="0.35">
      <c r="A230" t="s">
        <v>312</v>
      </c>
      <c r="B230" t="s">
        <v>305</v>
      </c>
      <c r="C230" s="24">
        <v>44872</v>
      </c>
      <c r="D230" s="22">
        <v>10046</v>
      </c>
      <c r="E230" s="22" t="str">
        <f t="shared" si="3"/>
        <v>Aceptable</v>
      </c>
      <c r="F230" t="e" vm="4">
        <v>#VALUE!</v>
      </c>
    </row>
    <row r="231" spans="1:6" x14ac:dyDescent="0.35">
      <c r="A231" t="s">
        <v>313</v>
      </c>
      <c r="B231" t="s">
        <v>81</v>
      </c>
      <c r="C231" s="24">
        <v>44914</v>
      </c>
      <c r="D231" s="22">
        <v>1460</v>
      </c>
      <c r="E231" s="22" t="str">
        <f t="shared" si="3"/>
        <v>Crítico</v>
      </c>
      <c r="F231" t="e" vm="4">
        <v>#VALUE!</v>
      </c>
    </row>
    <row r="232" spans="1:6" x14ac:dyDescent="0.35">
      <c r="A232" t="s">
        <v>314</v>
      </c>
      <c r="B232" t="s">
        <v>110</v>
      </c>
      <c r="C232" s="24">
        <v>44891</v>
      </c>
      <c r="D232" s="22">
        <v>6454</v>
      </c>
      <c r="E232" s="22" t="str">
        <f t="shared" si="3"/>
        <v>Crítico</v>
      </c>
      <c r="F232" t="e" vm="2">
        <v>#VALUE!</v>
      </c>
    </row>
    <row r="233" spans="1:6" x14ac:dyDescent="0.35">
      <c r="A233" t="s">
        <v>315</v>
      </c>
      <c r="B233" t="s">
        <v>110</v>
      </c>
      <c r="C233" s="24">
        <v>44890</v>
      </c>
      <c r="D233" s="22">
        <v>13309</v>
      </c>
      <c r="E233" s="22" t="str">
        <f t="shared" si="3"/>
        <v>Aceptable</v>
      </c>
      <c r="F233" t="e" vm="2">
        <v>#VALUE!</v>
      </c>
    </row>
    <row r="234" spans="1:6" x14ac:dyDescent="0.35">
      <c r="A234" t="s">
        <v>316</v>
      </c>
      <c r="B234" t="s">
        <v>305</v>
      </c>
      <c r="C234" s="24">
        <v>44951</v>
      </c>
      <c r="D234" s="22">
        <v>16444</v>
      </c>
      <c r="E234" s="22" t="str">
        <f t="shared" si="3"/>
        <v>Aceptable</v>
      </c>
      <c r="F234" t="e" vm="4">
        <v>#VALUE!</v>
      </c>
    </row>
    <row r="235" spans="1:6" x14ac:dyDescent="0.35">
      <c r="A235" t="s">
        <v>317</v>
      </c>
      <c r="B235" t="s">
        <v>110</v>
      </c>
      <c r="C235" s="24">
        <v>44898</v>
      </c>
      <c r="D235" s="22">
        <v>8778</v>
      </c>
      <c r="E235" s="22" t="str">
        <f t="shared" si="3"/>
        <v>Crítico</v>
      </c>
      <c r="F235" t="e" vm="6">
        <v>#VALUE!</v>
      </c>
    </row>
    <row r="236" spans="1:6" x14ac:dyDescent="0.35">
      <c r="A236" t="s">
        <v>318</v>
      </c>
      <c r="B236" t="s">
        <v>305</v>
      </c>
      <c r="C236" s="24">
        <v>44951</v>
      </c>
      <c r="D236" s="22">
        <v>6182</v>
      </c>
      <c r="E236" s="22" t="str">
        <f t="shared" si="3"/>
        <v>Crítico</v>
      </c>
      <c r="F236" t="e" vm="2">
        <v>#VALUE!</v>
      </c>
    </row>
    <row r="237" spans="1:6" x14ac:dyDescent="0.35">
      <c r="A237" t="s">
        <v>319</v>
      </c>
      <c r="B237" t="s">
        <v>127</v>
      </c>
      <c r="C237" s="24">
        <v>44886</v>
      </c>
      <c r="D237" s="22">
        <v>8306</v>
      </c>
      <c r="E237" s="22" t="str">
        <f t="shared" si="3"/>
        <v>Crítico</v>
      </c>
      <c r="F237" t="e" vm="4">
        <v>#VALUE!</v>
      </c>
    </row>
    <row r="238" spans="1:6" x14ac:dyDescent="0.35">
      <c r="A238" t="s">
        <v>320</v>
      </c>
      <c r="B238" t="s">
        <v>127</v>
      </c>
      <c r="C238" s="24">
        <v>44919</v>
      </c>
      <c r="D238" s="22">
        <v>4198</v>
      </c>
      <c r="E238" s="22" t="str">
        <f t="shared" si="3"/>
        <v>Crítico</v>
      </c>
      <c r="F238" t="e" vm="4">
        <v>#VALUE!</v>
      </c>
    </row>
    <row r="239" spans="1:6" x14ac:dyDescent="0.35">
      <c r="A239" t="s">
        <v>321</v>
      </c>
      <c r="B239" t="s">
        <v>350</v>
      </c>
      <c r="C239" s="24">
        <v>44908</v>
      </c>
      <c r="D239" s="22">
        <v>10209</v>
      </c>
      <c r="E239" s="22" t="str">
        <f t="shared" si="3"/>
        <v>Aceptable</v>
      </c>
      <c r="F239" t="e" vm="6">
        <v>#VALUE!</v>
      </c>
    </row>
    <row r="240" spans="1:6" x14ac:dyDescent="0.35">
      <c r="A240" t="s">
        <v>322</v>
      </c>
      <c r="B240" t="s">
        <v>350</v>
      </c>
      <c r="C240" s="24">
        <v>44954</v>
      </c>
      <c r="D240" s="22">
        <v>19334</v>
      </c>
      <c r="E240" s="22" t="str">
        <f t="shared" si="3"/>
        <v>Aceptable</v>
      </c>
      <c r="F240" t="e" vm="2">
        <v>#VALUE!</v>
      </c>
    </row>
    <row r="241" spans="1:6" x14ac:dyDescent="0.35">
      <c r="A241" t="s">
        <v>323</v>
      </c>
      <c r="B241" t="s">
        <v>305</v>
      </c>
      <c r="C241" s="24">
        <v>44891</v>
      </c>
      <c r="D241" s="22">
        <v>2264</v>
      </c>
      <c r="E241" s="22" t="str">
        <f t="shared" si="3"/>
        <v>Crítico</v>
      </c>
      <c r="F241" t="e" vm="6">
        <v>#VALUE!</v>
      </c>
    </row>
    <row r="242" spans="1:6" x14ac:dyDescent="0.35">
      <c r="A242" t="s">
        <v>324</v>
      </c>
      <c r="B242" t="s">
        <v>81</v>
      </c>
      <c r="C242" s="24">
        <v>44876</v>
      </c>
      <c r="D242" s="22">
        <v>8211</v>
      </c>
      <c r="E242" s="22" t="str">
        <f t="shared" si="3"/>
        <v>Crítico</v>
      </c>
      <c r="F242" t="e" vm="4">
        <v>#VALUE!</v>
      </c>
    </row>
    <row r="243" spans="1:6" x14ac:dyDescent="0.35">
      <c r="A243" t="s">
        <v>325</v>
      </c>
      <c r="B243" t="s">
        <v>305</v>
      </c>
      <c r="C243" s="24">
        <v>44922</v>
      </c>
      <c r="D243" s="22">
        <v>7100</v>
      </c>
      <c r="E243" s="22" t="str">
        <f t="shared" si="3"/>
        <v>Crítico</v>
      </c>
      <c r="F243" t="e" vm="2">
        <v>#VALUE!</v>
      </c>
    </row>
    <row r="244" spans="1:6" x14ac:dyDescent="0.35">
      <c r="A244" t="s">
        <v>326</v>
      </c>
      <c r="B244" t="s">
        <v>350</v>
      </c>
      <c r="C244" s="24">
        <v>44900</v>
      </c>
      <c r="D244" s="22">
        <v>11363</v>
      </c>
      <c r="E244" s="22" t="str">
        <f t="shared" si="3"/>
        <v>Aceptable</v>
      </c>
      <c r="F244" t="e" vm="4">
        <v>#VALUE!</v>
      </c>
    </row>
    <row r="245" spans="1:6" x14ac:dyDescent="0.35">
      <c r="A245" t="s">
        <v>327</v>
      </c>
      <c r="B245" t="s">
        <v>110</v>
      </c>
      <c r="C245" s="24">
        <v>44931</v>
      </c>
      <c r="D245" s="22">
        <v>11234</v>
      </c>
      <c r="E245" s="22" t="str">
        <f t="shared" si="3"/>
        <v>Aceptable</v>
      </c>
      <c r="F245" t="e" vm="4">
        <v>#VALUE!</v>
      </c>
    </row>
    <row r="246" spans="1:6" x14ac:dyDescent="0.35">
      <c r="A246" t="s">
        <v>328</v>
      </c>
      <c r="B246" t="s">
        <v>305</v>
      </c>
      <c r="C246" s="24">
        <v>44943</v>
      </c>
      <c r="D246" s="22">
        <v>3581</v>
      </c>
      <c r="E246" s="22" t="str">
        <f t="shared" si="3"/>
        <v>Crítico</v>
      </c>
      <c r="F246" t="e" vm="4">
        <v>#VALUE!</v>
      </c>
    </row>
    <row r="247" spans="1:6" x14ac:dyDescent="0.35">
      <c r="A247" t="s">
        <v>329</v>
      </c>
      <c r="B247" t="s">
        <v>350</v>
      </c>
      <c r="C247" s="24">
        <v>44873</v>
      </c>
      <c r="D247" s="22">
        <v>13961</v>
      </c>
      <c r="E247" s="22" t="str">
        <f t="shared" si="3"/>
        <v>Aceptable</v>
      </c>
      <c r="F247" t="e" vm="4">
        <v>#VALUE!</v>
      </c>
    </row>
    <row r="248" spans="1:6" x14ac:dyDescent="0.35">
      <c r="A248" t="s">
        <v>330</v>
      </c>
      <c r="B248" t="s">
        <v>361</v>
      </c>
      <c r="C248" s="24">
        <v>44912</v>
      </c>
      <c r="D248" s="22">
        <v>13046</v>
      </c>
      <c r="E248" s="22" t="str">
        <f t="shared" si="3"/>
        <v>Aceptable</v>
      </c>
      <c r="F248" t="e" vm="2">
        <v>#VALUE!</v>
      </c>
    </row>
    <row r="249" spans="1:6" x14ac:dyDescent="0.35">
      <c r="A249" t="s">
        <v>331</v>
      </c>
      <c r="B249" t="s">
        <v>305</v>
      </c>
      <c r="C249" s="24">
        <v>44955</v>
      </c>
      <c r="D249" s="22">
        <v>16251</v>
      </c>
      <c r="E249" s="22" t="str">
        <f t="shared" si="3"/>
        <v>Aceptable</v>
      </c>
      <c r="F249" t="e" vm="2">
        <v>#VALUE!</v>
      </c>
    </row>
    <row r="250" spans="1:6" x14ac:dyDescent="0.35">
      <c r="A250" t="s">
        <v>332</v>
      </c>
      <c r="B250" t="s">
        <v>110</v>
      </c>
      <c r="C250" s="24">
        <v>44878</v>
      </c>
      <c r="D250" s="22">
        <v>11325</v>
      </c>
      <c r="E250" s="22" t="str">
        <f t="shared" si="3"/>
        <v>Aceptable</v>
      </c>
      <c r="F250" t="e" vm="2">
        <v>#VALUE!</v>
      </c>
    </row>
    <row r="251" spans="1:6" x14ac:dyDescent="0.35">
      <c r="A251" t="s">
        <v>333</v>
      </c>
      <c r="B251" t="s">
        <v>110</v>
      </c>
      <c r="C251" s="24">
        <v>44890</v>
      </c>
      <c r="D251" s="22">
        <v>16792</v>
      </c>
      <c r="E251" s="22" t="str">
        <f t="shared" si="3"/>
        <v>Aceptable</v>
      </c>
      <c r="F251" t="e" vm="2">
        <v>#VALUE!</v>
      </c>
    </row>
    <row r="252" spans="1:6" x14ac:dyDescent="0.35">
      <c r="A252" t="s">
        <v>334</v>
      </c>
      <c r="B252" t="s">
        <v>127</v>
      </c>
      <c r="C252" s="24">
        <v>44935</v>
      </c>
      <c r="D252" s="22">
        <v>3932</v>
      </c>
      <c r="E252" s="22" t="str">
        <f t="shared" si="3"/>
        <v>Crítico</v>
      </c>
      <c r="F252" t="e" vm="4">
        <v>#VALUE!</v>
      </c>
    </row>
    <row r="253" spans="1:6" x14ac:dyDescent="0.35">
      <c r="A253" t="s">
        <v>335</v>
      </c>
      <c r="B253" t="s">
        <v>127</v>
      </c>
      <c r="C253" s="24">
        <v>44933</v>
      </c>
      <c r="D253" s="22">
        <v>2455</v>
      </c>
      <c r="E253" s="22" t="str">
        <f t="shared" si="3"/>
        <v>Crítico</v>
      </c>
      <c r="F253" t="e" vm="2">
        <v>#VALUE!</v>
      </c>
    </row>
    <row r="254" spans="1:6" x14ac:dyDescent="0.35">
      <c r="A254" t="s">
        <v>336</v>
      </c>
      <c r="B254" t="s">
        <v>81</v>
      </c>
      <c r="C254" s="24">
        <v>44879</v>
      </c>
      <c r="D254" s="22">
        <v>17019</v>
      </c>
      <c r="E254" s="22" t="str">
        <f t="shared" si="3"/>
        <v>Aceptable</v>
      </c>
      <c r="F254" t="e" vm="6">
        <v>#VALUE!</v>
      </c>
    </row>
    <row r="255" spans="1:6" x14ac:dyDescent="0.35">
      <c r="A255" t="s">
        <v>337</v>
      </c>
      <c r="B255" t="s">
        <v>127</v>
      </c>
      <c r="C255" s="24">
        <v>44956</v>
      </c>
      <c r="D255" s="22">
        <v>17263</v>
      </c>
      <c r="E255" s="22" t="str">
        <f t="shared" si="3"/>
        <v>Aceptable</v>
      </c>
      <c r="F255" t="e" vm="2">
        <v>#VALUE!</v>
      </c>
    </row>
    <row r="256" spans="1:6" x14ac:dyDescent="0.35">
      <c r="A256" t="s">
        <v>338</v>
      </c>
      <c r="B256" t="s">
        <v>361</v>
      </c>
      <c r="C256" s="24">
        <v>44950</v>
      </c>
      <c r="D256" s="22">
        <v>16448</v>
      </c>
      <c r="E256" s="22" t="str">
        <f t="shared" si="3"/>
        <v>Aceptable</v>
      </c>
      <c r="F256" t="e" vm="6">
        <v>#VALUE!</v>
      </c>
    </row>
    <row r="257" spans="1:6" x14ac:dyDescent="0.35">
      <c r="A257" t="s">
        <v>339</v>
      </c>
      <c r="B257" t="s">
        <v>425</v>
      </c>
      <c r="C257" s="24">
        <v>44900</v>
      </c>
      <c r="D257" s="22">
        <v>14743</v>
      </c>
      <c r="E257" s="22" t="str">
        <f t="shared" si="3"/>
        <v>Aceptable</v>
      </c>
      <c r="F257" t="e" vm="2">
        <v>#VALUE!</v>
      </c>
    </row>
    <row r="258" spans="1:6" x14ac:dyDescent="0.35">
      <c r="A258" t="s">
        <v>340</v>
      </c>
      <c r="B258" t="s">
        <v>110</v>
      </c>
      <c r="C258" s="24">
        <v>44868</v>
      </c>
      <c r="D258" s="22">
        <v>4909</v>
      </c>
      <c r="E258" s="22" t="str">
        <f t="shared" si="3"/>
        <v>Crítico</v>
      </c>
      <c r="F258" t="e" vm="2">
        <v>#VALUE!</v>
      </c>
    </row>
    <row r="259" spans="1:6" x14ac:dyDescent="0.35">
      <c r="A259" t="s">
        <v>341</v>
      </c>
      <c r="B259" t="s">
        <v>425</v>
      </c>
      <c r="C259" s="24">
        <v>44888</v>
      </c>
      <c r="D259" s="22">
        <v>11112</v>
      </c>
      <c r="E259" s="22" t="str">
        <f t="shared" ref="E259:E322" si="4">IF(D259&lt;$K$3,$I$3,$I$4)</f>
        <v>Aceptable</v>
      </c>
      <c r="F259" t="e" vm="2">
        <v>#VALUE!</v>
      </c>
    </row>
    <row r="260" spans="1:6" x14ac:dyDescent="0.35">
      <c r="A260" t="s">
        <v>342</v>
      </c>
      <c r="B260" t="s">
        <v>81</v>
      </c>
      <c r="C260" s="24">
        <v>44905</v>
      </c>
      <c r="D260" s="22">
        <v>4305</v>
      </c>
      <c r="E260" s="22" t="str">
        <f t="shared" si="4"/>
        <v>Crítico</v>
      </c>
      <c r="F260" t="e" vm="2">
        <v>#VALUE!</v>
      </c>
    </row>
    <row r="261" spans="1:6" x14ac:dyDescent="0.35">
      <c r="A261" t="s">
        <v>343</v>
      </c>
      <c r="B261" t="s">
        <v>110</v>
      </c>
      <c r="C261" s="24">
        <v>44909</v>
      </c>
      <c r="D261" s="22">
        <v>18114</v>
      </c>
      <c r="E261" s="22" t="str">
        <f t="shared" si="4"/>
        <v>Aceptable</v>
      </c>
      <c r="F261" t="e" vm="4">
        <v>#VALUE!</v>
      </c>
    </row>
    <row r="262" spans="1:6" x14ac:dyDescent="0.35">
      <c r="A262" t="s">
        <v>344</v>
      </c>
      <c r="B262" t="s">
        <v>305</v>
      </c>
      <c r="C262" s="24">
        <v>44952</v>
      </c>
      <c r="D262" s="22">
        <v>2847</v>
      </c>
      <c r="E262" s="22" t="str">
        <f t="shared" si="4"/>
        <v>Crítico</v>
      </c>
      <c r="F262" t="e" vm="6">
        <v>#VALUE!</v>
      </c>
    </row>
    <row r="263" spans="1:6" x14ac:dyDescent="0.35">
      <c r="A263" t="s">
        <v>345</v>
      </c>
      <c r="B263" t="s">
        <v>110</v>
      </c>
      <c r="C263" s="24">
        <v>44888</v>
      </c>
      <c r="D263" s="22">
        <v>5832</v>
      </c>
      <c r="E263" s="22" t="str">
        <f t="shared" si="4"/>
        <v>Crítico</v>
      </c>
      <c r="F263" t="e" vm="6">
        <v>#VALUE!</v>
      </c>
    </row>
    <row r="264" spans="1:6" x14ac:dyDescent="0.35">
      <c r="A264" t="s">
        <v>346</v>
      </c>
      <c r="B264" t="s">
        <v>350</v>
      </c>
      <c r="C264" s="24">
        <v>44894</v>
      </c>
      <c r="D264" s="22">
        <v>8181</v>
      </c>
      <c r="E264" s="22" t="str">
        <f t="shared" si="4"/>
        <v>Crítico</v>
      </c>
      <c r="F264" t="e" vm="6">
        <v>#VALUE!</v>
      </c>
    </row>
    <row r="265" spans="1:6" x14ac:dyDescent="0.35">
      <c r="A265" t="s">
        <v>347</v>
      </c>
      <c r="B265" t="s">
        <v>110</v>
      </c>
      <c r="C265" s="24">
        <v>44937</v>
      </c>
      <c r="D265" s="22">
        <v>7917</v>
      </c>
      <c r="E265" s="22" t="str">
        <f t="shared" si="4"/>
        <v>Crítico</v>
      </c>
      <c r="F265" t="e" vm="6">
        <v>#VALUE!</v>
      </c>
    </row>
    <row r="266" spans="1:6" x14ac:dyDescent="0.35">
      <c r="A266" t="s">
        <v>348</v>
      </c>
      <c r="B266" t="s">
        <v>425</v>
      </c>
      <c r="C266" s="24">
        <v>44916</v>
      </c>
      <c r="D266" s="22">
        <v>13125</v>
      </c>
      <c r="E266" s="22" t="str">
        <f t="shared" si="4"/>
        <v>Aceptable</v>
      </c>
      <c r="F266" t="e" vm="2">
        <v>#VALUE!</v>
      </c>
    </row>
    <row r="267" spans="1:6" x14ac:dyDescent="0.35">
      <c r="A267" t="s">
        <v>349</v>
      </c>
      <c r="B267" t="s">
        <v>81</v>
      </c>
      <c r="C267" s="24">
        <v>44946</v>
      </c>
      <c r="D267" s="22">
        <v>3063</v>
      </c>
      <c r="E267" s="22" t="str">
        <f t="shared" si="4"/>
        <v>Crítico</v>
      </c>
      <c r="F267" t="e" vm="2">
        <v>#VALUE!</v>
      </c>
    </row>
    <row r="268" spans="1:6" x14ac:dyDescent="0.35">
      <c r="A268" t="s">
        <v>351</v>
      </c>
      <c r="B268" t="s">
        <v>110</v>
      </c>
      <c r="C268" s="24">
        <v>44896</v>
      </c>
      <c r="D268" s="22">
        <v>3512</v>
      </c>
      <c r="E268" s="22" t="str">
        <f t="shared" si="4"/>
        <v>Crítico</v>
      </c>
      <c r="F268" t="e" vm="6">
        <v>#VALUE!</v>
      </c>
    </row>
    <row r="269" spans="1:6" x14ac:dyDescent="0.35">
      <c r="A269" t="s">
        <v>352</v>
      </c>
      <c r="B269" t="s">
        <v>81</v>
      </c>
      <c r="C269" s="24">
        <v>44928</v>
      </c>
      <c r="D269" s="22">
        <v>17207</v>
      </c>
      <c r="E269" s="22" t="str">
        <f t="shared" si="4"/>
        <v>Aceptable</v>
      </c>
      <c r="F269" t="e" vm="6">
        <v>#VALUE!</v>
      </c>
    </row>
    <row r="270" spans="1:6" x14ac:dyDescent="0.35">
      <c r="A270" t="s">
        <v>353</v>
      </c>
      <c r="B270" t="s">
        <v>425</v>
      </c>
      <c r="C270" s="24">
        <v>44918</v>
      </c>
      <c r="D270" s="22">
        <v>3978</v>
      </c>
      <c r="E270" s="22" t="str">
        <f t="shared" si="4"/>
        <v>Crítico</v>
      </c>
      <c r="F270" t="e" vm="4">
        <v>#VALUE!</v>
      </c>
    </row>
    <row r="271" spans="1:6" x14ac:dyDescent="0.35">
      <c r="A271" t="s">
        <v>354</v>
      </c>
      <c r="B271" t="s">
        <v>110</v>
      </c>
      <c r="C271" s="24">
        <v>44952</v>
      </c>
      <c r="D271" s="22">
        <v>2325</v>
      </c>
      <c r="E271" s="22" t="str">
        <f t="shared" si="4"/>
        <v>Crítico</v>
      </c>
      <c r="F271" t="e" vm="4">
        <v>#VALUE!</v>
      </c>
    </row>
    <row r="272" spans="1:6" x14ac:dyDescent="0.35">
      <c r="A272" t="s">
        <v>355</v>
      </c>
      <c r="B272" t="s">
        <v>425</v>
      </c>
      <c r="C272" s="24">
        <v>44874</v>
      </c>
      <c r="D272" s="22">
        <v>10022</v>
      </c>
      <c r="E272" s="22" t="str">
        <f t="shared" si="4"/>
        <v>Aceptable</v>
      </c>
      <c r="F272" t="e" vm="6">
        <v>#VALUE!</v>
      </c>
    </row>
    <row r="273" spans="1:6" x14ac:dyDescent="0.35">
      <c r="A273" t="s">
        <v>356</v>
      </c>
      <c r="B273" t="s">
        <v>361</v>
      </c>
      <c r="C273" s="24">
        <v>44934</v>
      </c>
      <c r="D273" s="22">
        <v>14535</v>
      </c>
      <c r="E273" s="22" t="str">
        <f t="shared" si="4"/>
        <v>Aceptable</v>
      </c>
      <c r="F273" t="e" vm="4">
        <v>#VALUE!</v>
      </c>
    </row>
    <row r="274" spans="1:6" x14ac:dyDescent="0.35">
      <c r="A274" t="s">
        <v>357</v>
      </c>
      <c r="B274" t="s">
        <v>305</v>
      </c>
      <c r="C274" s="24">
        <v>44928</v>
      </c>
      <c r="D274" s="22">
        <v>8991</v>
      </c>
      <c r="E274" s="22" t="str">
        <f t="shared" si="4"/>
        <v>Crítico</v>
      </c>
      <c r="F274" t="e" vm="6">
        <v>#VALUE!</v>
      </c>
    </row>
    <row r="275" spans="1:6" x14ac:dyDescent="0.35">
      <c r="A275" t="s">
        <v>358</v>
      </c>
      <c r="B275" t="s">
        <v>127</v>
      </c>
      <c r="C275" s="24">
        <v>44918</v>
      </c>
      <c r="D275" s="22">
        <v>7126</v>
      </c>
      <c r="E275" s="22" t="str">
        <f t="shared" si="4"/>
        <v>Crítico</v>
      </c>
      <c r="F275" t="e" vm="2">
        <v>#VALUE!</v>
      </c>
    </row>
    <row r="276" spans="1:6" x14ac:dyDescent="0.35">
      <c r="A276" t="s">
        <v>359</v>
      </c>
      <c r="B276" t="s">
        <v>305</v>
      </c>
      <c r="C276" s="24">
        <v>44884</v>
      </c>
      <c r="D276" s="22">
        <v>3725</v>
      </c>
      <c r="E276" s="22" t="str">
        <f t="shared" si="4"/>
        <v>Crítico</v>
      </c>
      <c r="F276" t="e" vm="2">
        <v>#VALUE!</v>
      </c>
    </row>
    <row r="277" spans="1:6" x14ac:dyDescent="0.35">
      <c r="A277" t="s">
        <v>360</v>
      </c>
      <c r="B277" t="s">
        <v>425</v>
      </c>
      <c r="C277" s="24">
        <v>44956</v>
      </c>
      <c r="D277" s="22">
        <v>17623</v>
      </c>
      <c r="E277" s="22" t="str">
        <f t="shared" si="4"/>
        <v>Aceptable</v>
      </c>
      <c r="F277" t="e" vm="4">
        <v>#VALUE!</v>
      </c>
    </row>
    <row r="278" spans="1:6" x14ac:dyDescent="0.35">
      <c r="A278" t="s">
        <v>362</v>
      </c>
      <c r="B278" t="s">
        <v>305</v>
      </c>
      <c r="C278" s="24">
        <v>44941</v>
      </c>
      <c r="D278" s="22">
        <v>14648</v>
      </c>
      <c r="E278" s="22" t="str">
        <f t="shared" si="4"/>
        <v>Aceptable</v>
      </c>
      <c r="F278" t="e" vm="6">
        <v>#VALUE!</v>
      </c>
    </row>
    <row r="279" spans="1:6" x14ac:dyDescent="0.35">
      <c r="A279" t="s">
        <v>363</v>
      </c>
      <c r="B279" t="s">
        <v>110</v>
      </c>
      <c r="C279" s="24">
        <v>44898</v>
      </c>
      <c r="D279" s="22">
        <v>15490</v>
      </c>
      <c r="E279" s="22" t="str">
        <f t="shared" si="4"/>
        <v>Aceptable</v>
      </c>
      <c r="F279" t="e" vm="2">
        <v>#VALUE!</v>
      </c>
    </row>
    <row r="280" spans="1:6" x14ac:dyDescent="0.35">
      <c r="A280" t="s">
        <v>364</v>
      </c>
      <c r="B280" t="s">
        <v>110</v>
      </c>
      <c r="C280" s="24">
        <v>44878</v>
      </c>
      <c r="D280" s="22">
        <v>16712</v>
      </c>
      <c r="E280" s="22" t="str">
        <f t="shared" si="4"/>
        <v>Aceptable</v>
      </c>
      <c r="F280" t="e" vm="4">
        <v>#VALUE!</v>
      </c>
    </row>
    <row r="281" spans="1:6" x14ac:dyDescent="0.35">
      <c r="A281" t="s">
        <v>365</v>
      </c>
      <c r="B281" t="s">
        <v>350</v>
      </c>
      <c r="C281" s="24">
        <v>44946</v>
      </c>
      <c r="D281" s="22">
        <v>5865</v>
      </c>
      <c r="E281" s="22" t="str">
        <f t="shared" si="4"/>
        <v>Crítico</v>
      </c>
      <c r="F281" t="e" vm="6">
        <v>#VALUE!</v>
      </c>
    </row>
    <row r="282" spans="1:6" x14ac:dyDescent="0.35">
      <c r="A282" t="s">
        <v>366</v>
      </c>
      <c r="B282" t="s">
        <v>350</v>
      </c>
      <c r="C282" s="24">
        <v>44872</v>
      </c>
      <c r="D282" s="22">
        <v>12072</v>
      </c>
      <c r="E282" s="22" t="str">
        <f t="shared" si="4"/>
        <v>Aceptable</v>
      </c>
      <c r="F282" t="e" vm="2">
        <v>#VALUE!</v>
      </c>
    </row>
    <row r="283" spans="1:6" x14ac:dyDescent="0.35">
      <c r="A283" t="s">
        <v>367</v>
      </c>
      <c r="B283" t="s">
        <v>81</v>
      </c>
      <c r="C283" s="24">
        <v>44889</v>
      </c>
      <c r="D283" s="22">
        <v>2512</v>
      </c>
      <c r="E283" s="22" t="str">
        <f t="shared" si="4"/>
        <v>Crítico</v>
      </c>
      <c r="F283" t="e" vm="2">
        <v>#VALUE!</v>
      </c>
    </row>
    <row r="284" spans="1:6" x14ac:dyDescent="0.35">
      <c r="A284" t="s">
        <v>368</v>
      </c>
      <c r="B284" t="s">
        <v>127</v>
      </c>
      <c r="C284" s="24">
        <v>44880</v>
      </c>
      <c r="D284" s="22">
        <v>19485</v>
      </c>
      <c r="E284" s="22" t="str">
        <f t="shared" si="4"/>
        <v>Aceptable</v>
      </c>
      <c r="F284" t="e" vm="2">
        <v>#VALUE!</v>
      </c>
    </row>
    <row r="285" spans="1:6" x14ac:dyDescent="0.35">
      <c r="A285" t="s">
        <v>369</v>
      </c>
      <c r="B285" t="s">
        <v>81</v>
      </c>
      <c r="C285" s="24">
        <v>44930</v>
      </c>
      <c r="D285" s="22">
        <v>11974</v>
      </c>
      <c r="E285" s="22" t="str">
        <f t="shared" si="4"/>
        <v>Aceptable</v>
      </c>
      <c r="F285" t="e" vm="6">
        <v>#VALUE!</v>
      </c>
    </row>
    <row r="286" spans="1:6" x14ac:dyDescent="0.35">
      <c r="A286" t="s">
        <v>370</v>
      </c>
      <c r="B286" t="s">
        <v>425</v>
      </c>
      <c r="C286" s="24">
        <v>44914</v>
      </c>
      <c r="D286" s="22">
        <v>1042</v>
      </c>
      <c r="E286" s="22" t="str">
        <f t="shared" si="4"/>
        <v>Crítico</v>
      </c>
      <c r="F286" t="e" vm="4">
        <v>#VALUE!</v>
      </c>
    </row>
    <row r="287" spans="1:6" x14ac:dyDescent="0.35">
      <c r="A287" t="s">
        <v>371</v>
      </c>
      <c r="B287" t="s">
        <v>127</v>
      </c>
      <c r="C287" s="24">
        <v>44892</v>
      </c>
      <c r="D287" s="22">
        <v>14212</v>
      </c>
      <c r="E287" s="22" t="str">
        <f t="shared" si="4"/>
        <v>Aceptable</v>
      </c>
      <c r="F287" t="e" vm="2">
        <v>#VALUE!</v>
      </c>
    </row>
    <row r="288" spans="1:6" x14ac:dyDescent="0.35">
      <c r="A288" t="s">
        <v>372</v>
      </c>
      <c r="B288" t="s">
        <v>425</v>
      </c>
      <c r="C288" s="24">
        <v>44949</v>
      </c>
      <c r="D288" s="22">
        <v>15798</v>
      </c>
      <c r="E288" s="22" t="str">
        <f t="shared" si="4"/>
        <v>Aceptable</v>
      </c>
      <c r="F288" t="e" vm="2">
        <v>#VALUE!</v>
      </c>
    </row>
    <row r="289" spans="1:6" x14ac:dyDescent="0.35">
      <c r="A289" t="s">
        <v>373</v>
      </c>
      <c r="B289" t="s">
        <v>350</v>
      </c>
      <c r="C289" s="24">
        <v>44932</v>
      </c>
      <c r="D289" s="22">
        <v>2448</v>
      </c>
      <c r="E289" s="22" t="str">
        <f t="shared" si="4"/>
        <v>Crítico</v>
      </c>
      <c r="F289" t="e" vm="6">
        <v>#VALUE!</v>
      </c>
    </row>
    <row r="290" spans="1:6" x14ac:dyDescent="0.35">
      <c r="A290" t="s">
        <v>374</v>
      </c>
      <c r="B290" t="s">
        <v>425</v>
      </c>
      <c r="C290" s="24">
        <v>44893</v>
      </c>
      <c r="D290" s="22">
        <v>2633</v>
      </c>
      <c r="E290" s="22" t="str">
        <f t="shared" si="4"/>
        <v>Crítico</v>
      </c>
      <c r="F290" t="e" vm="6">
        <v>#VALUE!</v>
      </c>
    </row>
    <row r="291" spans="1:6" x14ac:dyDescent="0.35">
      <c r="A291" t="s">
        <v>375</v>
      </c>
      <c r="B291" t="s">
        <v>361</v>
      </c>
      <c r="C291" s="24">
        <v>44933</v>
      </c>
      <c r="D291" s="22">
        <v>10318</v>
      </c>
      <c r="E291" s="22" t="str">
        <f t="shared" si="4"/>
        <v>Aceptable</v>
      </c>
      <c r="F291" t="e" vm="4">
        <v>#VALUE!</v>
      </c>
    </row>
    <row r="292" spans="1:6" x14ac:dyDescent="0.35">
      <c r="A292" t="s">
        <v>376</v>
      </c>
      <c r="B292" t="s">
        <v>305</v>
      </c>
      <c r="C292" s="24">
        <v>44893</v>
      </c>
      <c r="D292" s="22">
        <v>7409</v>
      </c>
      <c r="E292" s="22" t="str">
        <f t="shared" si="4"/>
        <v>Crítico</v>
      </c>
      <c r="F292" t="e" vm="6">
        <v>#VALUE!</v>
      </c>
    </row>
    <row r="293" spans="1:6" x14ac:dyDescent="0.35">
      <c r="A293" t="s">
        <v>377</v>
      </c>
      <c r="B293" t="s">
        <v>127</v>
      </c>
      <c r="C293" s="24">
        <v>44908</v>
      </c>
      <c r="D293" s="22">
        <v>15930</v>
      </c>
      <c r="E293" s="22" t="str">
        <f t="shared" si="4"/>
        <v>Aceptable</v>
      </c>
      <c r="F293" t="e" vm="2">
        <v>#VALUE!</v>
      </c>
    </row>
    <row r="294" spans="1:6" x14ac:dyDescent="0.35">
      <c r="A294" t="s">
        <v>378</v>
      </c>
      <c r="B294" t="s">
        <v>350</v>
      </c>
      <c r="C294" s="24">
        <v>44908</v>
      </c>
      <c r="D294" s="22">
        <v>12780</v>
      </c>
      <c r="E294" s="22" t="str">
        <f t="shared" si="4"/>
        <v>Aceptable</v>
      </c>
      <c r="F294" t="e" vm="2">
        <v>#VALUE!</v>
      </c>
    </row>
    <row r="295" spans="1:6" x14ac:dyDescent="0.35">
      <c r="A295" t="s">
        <v>379</v>
      </c>
      <c r="B295" t="s">
        <v>305</v>
      </c>
      <c r="C295" s="24">
        <v>44950</v>
      </c>
      <c r="D295" s="22">
        <v>11660</v>
      </c>
      <c r="E295" s="22" t="str">
        <f t="shared" si="4"/>
        <v>Aceptable</v>
      </c>
      <c r="F295" t="e" vm="2">
        <v>#VALUE!</v>
      </c>
    </row>
    <row r="296" spans="1:6" x14ac:dyDescent="0.35">
      <c r="A296" t="s">
        <v>380</v>
      </c>
      <c r="B296" t="s">
        <v>110</v>
      </c>
      <c r="C296" s="24">
        <v>44890</v>
      </c>
      <c r="D296" s="22">
        <v>7233</v>
      </c>
      <c r="E296" s="22" t="str">
        <f t="shared" si="4"/>
        <v>Crítico</v>
      </c>
      <c r="F296" t="e" vm="4">
        <v>#VALUE!</v>
      </c>
    </row>
    <row r="297" spans="1:6" x14ac:dyDescent="0.35">
      <c r="A297" t="s">
        <v>381</v>
      </c>
      <c r="B297" t="s">
        <v>361</v>
      </c>
      <c r="C297" s="24">
        <v>44949</v>
      </c>
      <c r="D297" s="22">
        <v>11687</v>
      </c>
      <c r="E297" s="22" t="str">
        <f t="shared" si="4"/>
        <v>Aceptable</v>
      </c>
      <c r="F297" t="e" vm="4">
        <v>#VALUE!</v>
      </c>
    </row>
    <row r="298" spans="1:6" x14ac:dyDescent="0.35">
      <c r="A298" t="s">
        <v>382</v>
      </c>
      <c r="B298" t="s">
        <v>425</v>
      </c>
      <c r="C298" s="24">
        <v>44873</v>
      </c>
      <c r="D298" s="22">
        <v>11959</v>
      </c>
      <c r="E298" s="22" t="str">
        <f t="shared" si="4"/>
        <v>Aceptable</v>
      </c>
      <c r="F298" t="e" vm="4">
        <v>#VALUE!</v>
      </c>
    </row>
    <row r="299" spans="1:6" x14ac:dyDescent="0.35">
      <c r="A299" t="s">
        <v>383</v>
      </c>
      <c r="B299" t="s">
        <v>425</v>
      </c>
      <c r="C299" s="24">
        <v>44904</v>
      </c>
      <c r="D299" s="22">
        <v>2220</v>
      </c>
      <c r="E299" s="22" t="str">
        <f t="shared" si="4"/>
        <v>Crítico</v>
      </c>
      <c r="F299" t="e" vm="2">
        <v>#VALUE!</v>
      </c>
    </row>
    <row r="300" spans="1:6" x14ac:dyDescent="0.35">
      <c r="A300" t="s">
        <v>384</v>
      </c>
      <c r="B300" t="s">
        <v>110</v>
      </c>
      <c r="C300" s="24">
        <v>44905</v>
      </c>
      <c r="D300" s="22">
        <v>14250</v>
      </c>
      <c r="E300" s="22" t="str">
        <f t="shared" si="4"/>
        <v>Aceptable</v>
      </c>
      <c r="F300" t="e" vm="6">
        <v>#VALUE!</v>
      </c>
    </row>
    <row r="301" spans="1:6" x14ac:dyDescent="0.35">
      <c r="A301" t="s">
        <v>385</v>
      </c>
      <c r="B301" t="s">
        <v>127</v>
      </c>
      <c r="C301" s="24">
        <v>44900</v>
      </c>
      <c r="D301" s="22">
        <v>11253</v>
      </c>
      <c r="E301" s="22" t="str">
        <f t="shared" si="4"/>
        <v>Aceptable</v>
      </c>
      <c r="F301" t="e" vm="4">
        <v>#VALUE!</v>
      </c>
    </row>
    <row r="302" spans="1:6" x14ac:dyDescent="0.35">
      <c r="A302" t="s">
        <v>386</v>
      </c>
      <c r="B302" t="s">
        <v>305</v>
      </c>
      <c r="C302" s="24">
        <v>44917</v>
      </c>
      <c r="D302" s="22">
        <v>3477</v>
      </c>
      <c r="E302" s="22" t="str">
        <f t="shared" si="4"/>
        <v>Crítico</v>
      </c>
      <c r="F302" t="e" vm="2">
        <v>#VALUE!</v>
      </c>
    </row>
    <row r="303" spans="1:6" x14ac:dyDescent="0.35">
      <c r="A303" t="s">
        <v>387</v>
      </c>
      <c r="B303" t="s">
        <v>127</v>
      </c>
      <c r="C303" s="24">
        <v>44931</v>
      </c>
      <c r="D303" s="22">
        <v>1824</v>
      </c>
      <c r="E303" s="22" t="str">
        <f t="shared" si="4"/>
        <v>Crítico</v>
      </c>
      <c r="F303" t="e" vm="2">
        <v>#VALUE!</v>
      </c>
    </row>
    <row r="304" spans="1:6" x14ac:dyDescent="0.35">
      <c r="A304" t="s">
        <v>388</v>
      </c>
      <c r="B304" t="s">
        <v>110</v>
      </c>
      <c r="C304" s="24">
        <v>44935</v>
      </c>
      <c r="D304" s="22">
        <v>19113</v>
      </c>
      <c r="E304" s="22" t="str">
        <f t="shared" si="4"/>
        <v>Aceptable</v>
      </c>
      <c r="F304" t="e" vm="6">
        <v>#VALUE!</v>
      </c>
    </row>
    <row r="305" spans="1:6" x14ac:dyDescent="0.35">
      <c r="A305" t="s">
        <v>389</v>
      </c>
      <c r="B305" t="s">
        <v>350</v>
      </c>
      <c r="C305" s="24">
        <v>44902</v>
      </c>
      <c r="D305" s="22">
        <v>18004</v>
      </c>
      <c r="E305" s="22" t="str">
        <f t="shared" si="4"/>
        <v>Aceptable</v>
      </c>
      <c r="F305" t="e" vm="4">
        <v>#VALUE!</v>
      </c>
    </row>
    <row r="306" spans="1:6" x14ac:dyDescent="0.35">
      <c r="A306" t="s">
        <v>390</v>
      </c>
      <c r="B306" t="s">
        <v>81</v>
      </c>
      <c r="C306" s="24">
        <v>44941</v>
      </c>
      <c r="D306" s="22">
        <v>4734</v>
      </c>
      <c r="E306" s="22" t="str">
        <f t="shared" si="4"/>
        <v>Crítico</v>
      </c>
      <c r="F306" t="e" vm="6">
        <v>#VALUE!</v>
      </c>
    </row>
    <row r="307" spans="1:6" x14ac:dyDescent="0.35">
      <c r="A307" t="s">
        <v>391</v>
      </c>
      <c r="B307" t="s">
        <v>305</v>
      </c>
      <c r="C307" s="24">
        <v>44872</v>
      </c>
      <c r="D307" s="22">
        <v>17772</v>
      </c>
      <c r="E307" s="22" t="str">
        <f t="shared" si="4"/>
        <v>Aceptable</v>
      </c>
      <c r="F307" t="e" vm="4">
        <v>#VALUE!</v>
      </c>
    </row>
    <row r="308" spans="1:6" x14ac:dyDescent="0.35">
      <c r="A308" t="s">
        <v>392</v>
      </c>
      <c r="B308" t="s">
        <v>110</v>
      </c>
      <c r="C308" s="24">
        <v>44893</v>
      </c>
      <c r="D308" s="22">
        <v>13609</v>
      </c>
      <c r="E308" s="22" t="str">
        <f t="shared" si="4"/>
        <v>Aceptable</v>
      </c>
      <c r="F308" t="e" vm="6">
        <v>#VALUE!</v>
      </c>
    </row>
    <row r="309" spans="1:6" x14ac:dyDescent="0.35">
      <c r="A309" t="s">
        <v>393</v>
      </c>
      <c r="B309" t="s">
        <v>127</v>
      </c>
      <c r="C309" s="24">
        <v>44947</v>
      </c>
      <c r="D309" s="22">
        <v>13799</v>
      </c>
      <c r="E309" s="22" t="str">
        <f t="shared" si="4"/>
        <v>Aceptable</v>
      </c>
      <c r="F309" t="e" vm="6">
        <v>#VALUE!</v>
      </c>
    </row>
    <row r="310" spans="1:6" x14ac:dyDescent="0.35">
      <c r="A310" t="s">
        <v>394</v>
      </c>
      <c r="B310" t="s">
        <v>81</v>
      </c>
      <c r="C310" s="24">
        <v>44879</v>
      </c>
      <c r="D310" s="22">
        <v>19248</v>
      </c>
      <c r="E310" s="22" t="str">
        <f t="shared" si="4"/>
        <v>Aceptable</v>
      </c>
      <c r="F310" t="e" vm="2">
        <v>#VALUE!</v>
      </c>
    </row>
    <row r="311" spans="1:6" x14ac:dyDescent="0.35">
      <c r="A311" t="s">
        <v>395</v>
      </c>
      <c r="B311" t="s">
        <v>127</v>
      </c>
      <c r="C311" s="24">
        <v>44948</v>
      </c>
      <c r="D311" s="22">
        <v>9150</v>
      </c>
      <c r="E311" s="22" t="str">
        <f t="shared" si="4"/>
        <v>Crítico</v>
      </c>
      <c r="F311" t="e" vm="6">
        <v>#VALUE!</v>
      </c>
    </row>
    <row r="312" spans="1:6" x14ac:dyDescent="0.35">
      <c r="A312" t="s">
        <v>396</v>
      </c>
      <c r="B312" t="s">
        <v>305</v>
      </c>
      <c r="C312" s="24">
        <v>44949</v>
      </c>
      <c r="D312" s="22">
        <v>15516</v>
      </c>
      <c r="E312" s="22" t="str">
        <f t="shared" si="4"/>
        <v>Aceptable</v>
      </c>
      <c r="F312" t="e" vm="4">
        <v>#VALUE!</v>
      </c>
    </row>
    <row r="313" spans="1:6" x14ac:dyDescent="0.35">
      <c r="A313" t="s">
        <v>397</v>
      </c>
      <c r="B313" t="s">
        <v>305</v>
      </c>
      <c r="C313" s="24">
        <v>44899</v>
      </c>
      <c r="D313" s="22">
        <v>10301</v>
      </c>
      <c r="E313" s="22" t="str">
        <f t="shared" si="4"/>
        <v>Aceptable</v>
      </c>
      <c r="F313" t="e" vm="6">
        <v>#VALUE!</v>
      </c>
    </row>
    <row r="314" spans="1:6" x14ac:dyDescent="0.35">
      <c r="A314" t="s">
        <v>398</v>
      </c>
      <c r="B314" t="s">
        <v>81</v>
      </c>
      <c r="C314" s="24">
        <v>44890</v>
      </c>
      <c r="D314" s="22">
        <v>2057</v>
      </c>
      <c r="E314" s="22" t="str">
        <f t="shared" si="4"/>
        <v>Crítico</v>
      </c>
      <c r="F314" t="e" vm="4">
        <v>#VALUE!</v>
      </c>
    </row>
    <row r="315" spans="1:6" x14ac:dyDescent="0.35">
      <c r="A315" t="s">
        <v>399</v>
      </c>
      <c r="B315" t="s">
        <v>305</v>
      </c>
      <c r="C315" s="24">
        <v>44920</v>
      </c>
      <c r="D315" s="22">
        <v>4331</v>
      </c>
      <c r="E315" s="22" t="str">
        <f t="shared" si="4"/>
        <v>Crítico</v>
      </c>
      <c r="F315" t="e" vm="6">
        <v>#VALUE!</v>
      </c>
    </row>
    <row r="316" spans="1:6" x14ac:dyDescent="0.35">
      <c r="A316" t="s">
        <v>400</v>
      </c>
      <c r="B316" t="s">
        <v>425</v>
      </c>
      <c r="C316" s="24">
        <v>44951</v>
      </c>
      <c r="D316" s="22">
        <v>14287</v>
      </c>
      <c r="E316" s="22" t="str">
        <f t="shared" si="4"/>
        <v>Aceptable</v>
      </c>
      <c r="F316" t="e" vm="4">
        <v>#VALUE!</v>
      </c>
    </row>
    <row r="317" spans="1:6" x14ac:dyDescent="0.35">
      <c r="A317" t="s">
        <v>401</v>
      </c>
      <c r="B317" t="s">
        <v>127</v>
      </c>
      <c r="C317" s="24">
        <v>44927</v>
      </c>
      <c r="D317" s="22">
        <v>18641</v>
      </c>
      <c r="E317" s="22" t="str">
        <f t="shared" si="4"/>
        <v>Aceptable</v>
      </c>
      <c r="F317" t="e" vm="6">
        <v>#VALUE!</v>
      </c>
    </row>
    <row r="318" spans="1:6" x14ac:dyDescent="0.35">
      <c r="A318" t="s">
        <v>402</v>
      </c>
      <c r="B318" t="s">
        <v>425</v>
      </c>
      <c r="C318" s="24">
        <v>44895</v>
      </c>
      <c r="D318" s="22">
        <v>6234</v>
      </c>
      <c r="E318" s="22" t="str">
        <f t="shared" si="4"/>
        <v>Crítico</v>
      </c>
      <c r="F318" t="e" vm="4">
        <v>#VALUE!</v>
      </c>
    </row>
    <row r="319" spans="1:6" x14ac:dyDescent="0.35">
      <c r="A319" t="s">
        <v>403</v>
      </c>
      <c r="B319" t="s">
        <v>425</v>
      </c>
      <c r="C319" s="24">
        <v>44873</v>
      </c>
      <c r="D319" s="22">
        <v>2398</v>
      </c>
      <c r="E319" s="22" t="str">
        <f t="shared" si="4"/>
        <v>Crítico</v>
      </c>
      <c r="F319" t="e" vm="6">
        <v>#VALUE!</v>
      </c>
    </row>
    <row r="320" spans="1:6" x14ac:dyDescent="0.35">
      <c r="A320" t="s">
        <v>404</v>
      </c>
      <c r="B320" t="s">
        <v>361</v>
      </c>
      <c r="C320" s="24">
        <v>44948</v>
      </c>
      <c r="D320" s="22">
        <v>12325</v>
      </c>
      <c r="E320" s="22" t="str">
        <f t="shared" si="4"/>
        <v>Aceptable</v>
      </c>
      <c r="F320" t="e" vm="6">
        <v>#VALUE!</v>
      </c>
    </row>
    <row r="321" spans="1:6" x14ac:dyDescent="0.35">
      <c r="A321" t="s">
        <v>405</v>
      </c>
      <c r="B321" t="s">
        <v>425</v>
      </c>
      <c r="C321" s="24">
        <v>44932</v>
      </c>
      <c r="D321" s="22">
        <v>6392</v>
      </c>
      <c r="E321" s="22" t="str">
        <f t="shared" si="4"/>
        <v>Crítico</v>
      </c>
      <c r="F321" t="e" vm="6">
        <v>#VALUE!</v>
      </c>
    </row>
    <row r="322" spans="1:6" x14ac:dyDescent="0.35">
      <c r="A322" t="s">
        <v>406</v>
      </c>
      <c r="B322" t="s">
        <v>425</v>
      </c>
      <c r="C322" s="24">
        <v>44885</v>
      </c>
      <c r="D322" s="22">
        <v>9859</v>
      </c>
      <c r="E322" s="22" t="str">
        <f t="shared" si="4"/>
        <v>Crítico</v>
      </c>
      <c r="F322" t="e" vm="6">
        <v>#VALUE!</v>
      </c>
    </row>
    <row r="323" spans="1:6" x14ac:dyDescent="0.35">
      <c r="A323" t="s">
        <v>407</v>
      </c>
      <c r="B323" t="s">
        <v>127</v>
      </c>
      <c r="C323" s="24">
        <v>44945</v>
      </c>
      <c r="D323" s="22">
        <v>15964</v>
      </c>
      <c r="E323" s="22" t="str">
        <f t="shared" ref="E323" si="5">IF(D323&lt;$K$3,$I$3,$I$4)</f>
        <v>Aceptable</v>
      </c>
      <c r="F323" t="e" vm="2">
        <v>#VALUE!</v>
      </c>
    </row>
  </sheetData>
  <mergeCells count="1">
    <mergeCell ref="I7:J7"/>
  </mergeCells>
  <hyperlinks>
    <hyperlink ref="G1" location="'Lo que aprenderás'!A1" display="Inicio" xr:uid="{9C5C1A19-C209-4217-AB70-5AAC91CA4A03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61D2D-2B64-42E0-B9AB-681FBAD99ED5}">
  <sheetPr codeName="Hoja1"/>
  <dimension ref="A1:AB23"/>
  <sheetViews>
    <sheetView showGridLines="0" tabSelected="1" workbookViewId="0">
      <selection activeCell="B16" sqref="B16"/>
    </sheetView>
  </sheetViews>
  <sheetFormatPr baseColWidth="10" defaultRowHeight="14.5" x14ac:dyDescent="0.35"/>
  <cols>
    <col min="1" max="2" width="11.453125" customWidth="1"/>
    <col min="4" max="4" width="42" customWidth="1"/>
    <col min="7" max="7" width="11.81640625" bestFit="1" customWidth="1"/>
    <col min="10" max="10" width="43.1796875" customWidth="1"/>
  </cols>
  <sheetData>
    <row r="1" spans="1:28" ht="36" x14ac:dyDescent="0.35">
      <c r="A1" s="44" t="s">
        <v>35</v>
      </c>
      <c r="B1" s="16" t="s">
        <v>811</v>
      </c>
      <c r="C1" s="16"/>
      <c r="D1" s="17"/>
      <c r="E1" s="16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3" spans="1:28" ht="21" x14ac:dyDescent="0.5">
      <c r="B3" s="18" t="s">
        <v>58</v>
      </c>
      <c r="C3" s="20" t="s">
        <v>59</v>
      </c>
      <c r="D3" s="19"/>
      <c r="E3" s="19"/>
    </row>
    <row r="4" spans="1:28" x14ac:dyDescent="0.35">
      <c r="B4" t="s">
        <v>60</v>
      </c>
    </row>
    <row r="6" spans="1:28" ht="21" x14ac:dyDescent="0.5">
      <c r="B6" s="18" t="s">
        <v>61</v>
      </c>
      <c r="C6" s="20" t="s">
        <v>62</v>
      </c>
      <c r="D6" s="19"/>
      <c r="E6" s="19"/>
    </row>
    <row r="7" spans="1:28" x14ac:dyDescent="0.35">
      <c r="B7" t="s">
        <v>63</v>
      </c>
    </row>
    <row r="9" spans="1:28" ht="21" x14ac:dyDescent="0.5">
      <c r="B9" s="18" t="s">
        <v>64</v>
      </c>
      <c r="C9" s="20" t="s">
        <v>65</v>
      </c>
      <c r="D9" s="19"/>
      <c r="E9" s="19"/>
    </row>
    <row r="10" spans="1:28" ht="23.5" x14ac:dyDescent="0.55000000000000004">
      <c r="B10" t="s">
        <v>66</v>
      </c>
      <c r="J10" s="76"/>
    </row>
    <row r="12" spans="1:28" ht="21" x14ac:dyDescent="0.5">
      <c r="B12" s="18" t="s">
        <v>67</v>
      </c>
      <c r="C12" s="20" t="s">
        <v>68</v>
      </c>
      <c r="D12" s="19"/>
      <c r="E12" s="19"/>
    </row>
    <row r="13" spans="1:28" x14ac:dyDescent="0.35">
      <c r="B13" t="s">
        <v>768</v>
      </c>
    </row>
    <row r="15" spans="1:28" ht="18.5" x14ac:dyDescent="0.45">
      <c r="B15" s="77" t="s">
        <v>809</v>
      </c>
    </row>
    <row r="16" spans="1:28" ht="15.5" x14ac:dyDescent="0.35">
      <c r="B16" s="78" t="s">
        <v>810</v>
      </c>
    </row>
    <row r="17" spans="2:2" x14ac:dyDescent="0.35">
      <c r="B17" t="s">
        <v>767</v>
      </c>
    </row>
    <row r="18" spans="2:2" x14ac:dyDescent="0.35">
      <c r="B18" s="45" t="s">
        <v>769</v>
      </c>
    </row>
    <row r="19" spans="2:2" x14ac:dyDescent="0.35">
      <c r="B19" s="21"/>
    </row>
    <row r="20" spans="2:2" x14ac:dyDescent="0.35">
      <c r="B20" s="21"/>
    </row>
    <row r="21" spans="2:2" x14ac:dyDescent="0.35">
      <c r="B21" s="45" t="s">
        <v>770</v>
      </c>
    </row>
    <row r="23" spans="2:2" ht="26" x14ac:dyDescent="0.6">
      <c r="B23" s="66"/>
    </row>
  </sheetData>
  <sheetProtection selectLockedCells="1"/>
  <hyperlinks>
    <hyperlink ref="A1" location="'Lo que aprenderás'!A1" display="Inicio" xr:uid="{ACBB8D61-8DBD-41CD-B4DE-6DA5C36372AB}"/>
    <hyperlink ref="B16" r:id="rId1" xr:uid="{53CB7A51-DC3C-4900-9F5E-40B0F43FC13B}"/>
  </hyperlinks>
  <pageMargins left="0.7" right="0.7" top="0.75" bottom="0.75" header="0.3" footer="0.3"/>
  <pageSetup orientation="portrait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</vt:i4>
      </vt:variant>
    </vt:vector>
  </HeadingPairs>
  <TitlesOfParts>
    <vt:vector size="11" baseType="lpstr">
      <vt:lpstr>Lo que aprenderás</vt:lpstr>
      <vt:lpstr>El Arte De Ser Agil</vt:lpstr>
      <vt:lpstr>CSV</vt:lpstr>
      <vt:lpstr>Formateado</vt:lpstr>
      <vt:lpstr>SUMAR AVANZADO</vt:lpstr>
      <vt:lpstr>BUSCARV</vt:lpstr>
      <vt:lpstr>BUSCARV 2</vt:lpstr>
      <vt:lpstr>BUSCARV Aproximado</vt:lpstr>
      <vt:lpstr>FUNCION SI</vt:lpstr>
      <vt:lpstr>Tu Insignia</vt:lpstr>
      <vt:lpstr>'El Arte De Ser Agil'!Área_de_impresión</vt:lpstr>
    </vt:vector>
  </TitlesOfParts>
  <Company>hazloconexcel.com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Rogelio Salinas</dc:creator>
  <cp:lastModifiedBy>Aldo Hernandez</cp:lastModifiedBy>
  <dcterms:created xsi:type="dcterms:W3CDTF">2020-03-05T19:02:35Z</dcterms:created>
  <dcterms:modified xsi:type="dcterms:W3CDTF">2025-11-05T03:25:20Z</dcterms:modified>
</cp:coreProperties>
</file>